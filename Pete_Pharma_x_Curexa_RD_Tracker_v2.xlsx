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Notes" sheetId="2" state="visible" r:id="rId4"/>
    <sheet name="Read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<sst xmlns="http://schemas.openxmlformats.org/spreadsheetml/2006/main" count="439" uniqueCount="145">
  <si>
    <t xml:space="preserve">Row ID</t>
  </si>
  <si>
    <t xml:space="preserve">Project</t>
  </si>
  <si>
    <t xml:space="preserve">SKU / Variant</t>
  </si>
  <si>
    <t xml:space="preserve">APIs</t>
  </si>
  <si>
    <t xml:space="preserve">Strengths</t>
  </si>
  <si>
    <t xml:space="preserve">Dosage Form</t>
  </si>
  <si>
    <t xml:space="preserve">Initial Intake</t>
  </si>
  <si>
    <t xml:space="preserve">APIs to Pete Pharma</t>
  </si>
  <si>
    <t xml:space="preserve">Formula Development</t>
  </si>
  <si>
    <t xml:space="preserve">Samples to Curexa</t>
  </si>
  <si>
    <t xml:space="preserve">Sample Feedback</t>
  </si>
  <si>
    <t xml:space="preserve">Formula Finalized</t>
  </si>
  <si>
    <t xml:space="preserve">SOP Finalized</t>
  </si>
  <si>
    <t xml:space="preserve">Production</t>
  </si>
  <si>
    <t xml:space="preserve">Progress</t>
  </si>
  <si>
    <t xml:space="preserve">Last Updated</t>
  </si>
  <si>
    <t xml:space="preserve">Updated By</t>
  </si>
  <si>
    <t xml:space="preserve">R001</t>
  </si>
  <si>
    <t xml:space="preserve">Topical Estriol Cream Formula Optimization (Anhydrous)</t>
  </si>
  <si>
    <t xml:space="preserve">—</t>
  </si>
  <si>
    <t xml:space="preserve">Estriol</t>
  </si>
  <si>
    <t xml:space="preserve">Topical Anhydrous</t>
  </si>
  <si>
    <t xml:space="preserve">Completed</t>
  </si>
  <si>
    <t xml:space="preserve">N/A</t>
  </si>
  <si>
    <t xml:space="preserve">In Progress</t>
  </si>
  <si>
    <t xml:space="preserve">Not Started</t>
  </si>
  <si>
    <t xml:space="preserve">2026-10-03</t>
  </si>
  <si>
    <t xml:space="preserve">Migration</t>
  </si>
  <si>
    <t xml:space="preserve">R002</t>
  </si>
  <si>
    <t xml:space="preserve">Bimatoprost Eye Serum (Anhydrous)</t>
  </si>
  <si>
    <t xml:space="preserve">Bimatoprost</t>
  </si>
  <si>
    <t xml:space="preserve">0.035%</t>
  </si>
  <si>
    <t xml:space="preserve">R003</t>
  </si>
  <si>
    <t xml:space="preserve">GHK-Cu Topical Hair Solution (Anhydrous)</t>
  </si>
  <si>
    <t xml:space="preserve">GHK-Cu</t>
  </si>
  <si>
    <t xml:space="preserve">4%</t>
  </si>
  <si>
    <t xml:space="preserve">R004</t>
  </si>
  <si>
    <t xml:space="preserve">Cardiovascular Oral Tablets</t>
  </si>
  <si>
    <t xml:space="preserve">SKU 1</t>
  </si>
  <si>
    <t xml:space="preserve">Atorvastatin; CoQ10; Resveratrol; Pyridoxine HCl</t>
  </si>
  <si>
    <t xml:space="preserve">11.5 mg; 100 mg; 100 mg; 2.44 mg</t>
  </si>
  <si>
    <t xml:space="preserve">Oral IR Tablet</t>
  </si>
  <si>
    <t xml:space="preserve">R005</t>
  </si>
  <si>
    <t xml:space="preserve">SKU 2</t>
  </si>
  <si>
    <t xml:space="preserve">23 mg; 100 mg; 100 mg; 2.44 mg</t>
  </si>
  <si>
    <t xml:space="preserve">R006</t>
  </si>
  <si>
    <t xml:space="preserve">SKU 3</t>
  </si>
  <si>
    <t xml:space="preserve">Atorvastatin; Ezetimibe; CoQ10; Resveratrol; Pyridoxine HCl</t>
  </si>
  <si>
    <t xml:space="preserve">11.5 mg; 8.5 mg; 100 mg; 100 mg; 2.44 mg</t>
  </si>
  <si>
    <t xml:space="preserve">R007</t>
  </si>
  <si>
    <t xml:space="preserve">SKU 4</t>
  </si>
  <si>
    <t xml:space="preserve">23 mg; 8.5 mg; 100 mg; 100 mg; 2.44 mg</t>
  </si>
  <si>
    <t xml:space="preserve">R008</t>
  </si>
  <si>
    <t xml:space="preserve">SKU 5</t>
  </si>
  <si>
    <t xml:space="preserve">Rosuvastatin; CoQ10; Resveratrol; Pyridoxine HCl</t>
  </si>
  <si>
    <t xml:space="preserve">5.6 mg; 100 mg; 100 mg; 2.44 mg</t>
  </si>
  <si>
    <t xml:space="preserve">Blocked</t>
  </si>
  <si>
    <t xml:space="preserve">R009</t>
  </si>
  <si>
    <t xml:space="preserve">SKU 6</t>
  </si>
  <si>
    <t xml:space="preserve">11.2 mg; 100 mg; 100 mg; 2.44 mg</t>
  </si>
  <si>
    <t xml:space="preserve">R010</t>
  </si>
  <si>
    <t xml:space="preserve">SKU 7</t>
  </si>
  <si>
    <t xml:space="preserve">Rosuvastatin; Ezetimibe; CoQ10; Resveratrol; Pyridoxine HCl</t>
  </si>
  <si>
    <t xml:space="preserve">5.6 mg; 8.5 mg; 100 mg; 100 mg; 2.44 mg</t>
  </si>
  <si>
    <t xml:space="preserve">R011</t>
  </si>
  <si>
    <t xml:space="preserve">SKU 8</t>
  </si>
  <si>
    <t xml:space="preserve">11.2 mg; 8.5 mg; 100 mg; 100 mg; 2.44 mg</t>
  </si>
  <si>
    <t xml:space="preserve">R012</t>
  </si>
  <si>
    <t xml:space="preserve">Sample run (200 tabs)</t>
  </si>
  <si>
    <t xml:space="preserve">Atorvastatin; Rosuvastatin; Ezetimibe; CoQ10; Resveratrol; Pyridoxine HCl</t>
  </si>
  <si>
    <t xml:space="preserve">23 mg; 11.2 mg; 8.5 mg; 100 mg; 100 mg; 2.44 mg</t>
  </si>
  <si>
    <t xml:space="preserve">R013</t>
  </si>
  <si>
    <t xml:space="preserve">Sermorelin Tablets</t>
  </si>
  <si>
    <t xml:space="preserve">1000 mcg</t>
  </si>
  <si>
    <t xml:space="preserve">Sermorelin</t>
  </si>
  <si>
    <t xml:space="preserve">ODT</t>
  </si>
  <si>
    <t xml:space="preserve">R014</t>
  </si>
  <si>
    <t xml:space="preserve">500 mcg</t>
  </si>
  <si>
    <t xml:space="preserve">R015</t>
  </si>
  <si>
    <t xml:space="preserve">Topical GHK-Cu Anhydrous Cream</t>
  </si>
  <si>
    <t xml:space="preserve">2%</t>
  </si>
  <si>
    <t xml:space="preserve">Versapro Anhydrous Topical</t>
  </si>
  <si>
    <t xml:space="preserve">R016</t>
  </si>
  <si>
    <t xml:space="preserve">Sildenafil/Tadalafil Combo ODT</t>
  </si>
  <si>
    <t xml:space="preserve">56/12 mg — White</t>
  </si>
  <si>
    <t xml:space="preserve">Sildenafil; Tadalafil</t>
  </si>
  <si>
    <t xml:space="preserve">56 mg; 12 mg</t>
  </si>
  <si>
    <t xml:space="preserve">R017</t>
  </si>
  <si>
    <t xml:space="preserve">84/17 mg — White/Blue Specks</t>
  </si>
  <si>
    <t xml:space="preserve">84 mg; 17 mg</t>
  </si>
  <si>
    <t xml:space="preserve">R018</t>
  </si>
  <si>
    <t xml:space="preserve">110/23 mg — Pale Blue</t>
  </si>
  <si>
    <t xml:space="preserve">110 mg; 23 mg</t>
  </si>
  <si>
    <t xml:space="preserve">R019</t>
  </si>
  <si>
    <t xml:space="preserve">NAD+/Glutathione/Methyl B12 ODT</t>
  </si>
  <si>
    <t xml:space="preserve">NAD+; Glutathione; Methylcobalamin (B12)</t>
  </si>
  <si>
    <t xml:space="preserve">150 mg; 50 mg; 1 mg</t>
  </si>
  <si>
    <t xml:space="preserve">R020</t>
  </si>
  <si>
    <t xml:space="preserve">Anhydrous Nasal Spray</t>
  </si>
  <si>
    <t xml:space="preserve">TBD</t>
  </si>
  <si>
    <t xml:space="preserve">R021</t>
  </si>
  <si>
    <t xml:space="preserve">Pre-Workout Powder Sachets</t>
  </si>
  <si>
    <t xml:space="preserve">Daily Performance</t>
  </si>
  <si>
    <t xml:space="preserve">Tadalafil; Creatine Monohydrate; L-Citrulline; Taurine</t>
  </si>
  <si>
    <t xml:space="preserve">5 mg; 5 g; 3 g; 1.5 g</t>
  </si>
  <si>
    <t xml:space="preserve">Powder for Oral Solution (Sachet)</t>
  </si>
  <si>
    <t xml:space="preserve">R022</t>
  </si>
  <si>
    <t xml:space="preserve">PRN Pre-Workout</t>
  </si>
  <si>
    <t xml:space="preserve">Sildenafil; L-Citrulline; Beta-Alanine; Taurine; Caffeine; L-Theanine; L-Tyrosine; Na/K/Mg</t>
  </si>
  <si>
    <t xml:space="preserve">25 mg; 5 g; 1.6 g; 1.5 g; 200 mg; 100 mg; 500 mg; 350/200/50 mg</t>
  </si>
  <si>
    <t xml:space="preserve">Date</t>
  </si>
  <si>
    <t xml:space="preserve">Author</t>
  </si>
  <si>
    <t xml:space="preserve">Note</t>
  </si>
  <si>
    <t xml:space="preserve">Claude (migration)</t>
  </si>
  <si>
    <t xml:space="preserve">Workbook restructured from original tracker: one row per SKU, standardized statuses (Not Started / In Progress / Blocked / Completed / N/A). Original nuance captured in the notes below.</t>
  </si>
  <si>
    <t xml:space="preserve">SKU 5–8 + sample run</t>
  </si>
  <si>
    <t xml:space="preserve">'APIs to Pete Pharma' marked Blocked — awaiting Rosuvastatin.</t>
  </si>
  <si>
    <t xml:space="preserve">Formula Development status was 'Re-evaluation in Progress'. Production noted as TBD.</t>
  </si>
  <si>
    <t xml:space="preserve">Target: periwinkle color; mask unpleasant odor. Open question from Curexa: 'How much GHK-Cu is remaining? We are working hard to find another vendor.'</t>
  </si>
  <si>
    <t xml:space="preserve">All SKUs</t>
  </si>
  <si>
    <t xml:space="preserve">25 samples of each SKU. Formula Development status was 'Re-evaluation in Progress'.</t>
  </si>
  <si>
    <t xml:space="preserve">'Samples to Curexa' was recorded as 'Pete Pharma Sample Completed'.</t>
  </si>
  <si>
    <t xml:space="preserve">Early intake. Open items: Curexa to send ingredient list + absorption data; must cross blood-brain barrier; ensure scalability; evaluate propanediol as base.</t>
  </si>
  <si>
    <t xml:space="preserve">Both SKUs</t>
  </si>
  <si>
    <t xml:space="preserve">Added from current formulation work: Curexa sending APIs for 10-sachet sample runs of each product. Formulation proposals drafted.</t>
  </si>
  <si>
    <t xml:space="preserve">Pete Pharma x Curexa — R&amp;D Project Tracker (v2)</t>
  </si>
  <si>
    <t xml:space="preserve">How this workbook works</t>
  </si>
  <si>
    <t xml:space="preserve">• One row per SKU/variant on the Tracker sheet. The portal website reads and writes this file via Microsoft Graph.</t>
  </si>
  <si>
    <t xml:space="preserve">• Stage columns (G–N) use a dropdown: Not Started / In Progress / Blocked / Completed / N/A. Please use only these values — the website relies on them.</t>
  </si>
  <si>
    <t xml:space="preserve">• The Progress column is a formula (Completed stages ÷ applicable stages). Don't overwrite it.</t>
  </si>
  <si>
    <t xml:space="preserve">• Detail and discussion go on the Notes sheet (newest at the bottom). The website appends notes there too.</t>
  </si>
  <si>
    <t xml:space="preserve">• You can edit this file directly in Excel at any time — just keep the table structure: don't rename sheets, tables, or column headers.</t>
  </si>
  <si>
    <t xml:space="preserve">Editable cells</t>
  </si>
  <si>
    <t xml:space="preserve">• Tracker: columns B–F (project info) and G–N (stage statuses via dropdown).</t>
  </si>
  <si>
    <t xml:space="preserve">• Notes: add rows at the bottom of the table.</t>
  </si>
  <si>
    <t xml:space="preserve">• Row ID (column A) must stay unique — next available is R023.</t>
  </si>
  <si>
    <t xml:space="preserve">Example row format</t>
  </si>
  <si>
    <t xml:space="preserve">• R023 | "New Project Name" | "SKU 1" | "API A; API B" | "10 mg; 20 mg" | "ODT" | stage columns via dropdown.</t>
  </si>
  <si>
    <t xml:space="preserve">Status legend</t>
  </si>
  <si>
    <t xml:space="preserve">• Completed (green) — stage done</t>
  </si>
  <si>
    <t xml:space="preserve">• In Progress (yellow) — actively being worked</t>
  </si>
  <si>
    <t xml:space="preserve">• Blocked (red) — waiting on material/info (see Notes)</t>
  </si>
  <si>
    <t xml:space="preserve">• Not Started (gray) — not yet begun</t>
  </si>
  <si>
    <t xml:space="preserve">• N/A — stage doesn't apply to this project</t>
  </si>
  <si>
    <t xml:space="preserve">Migrated 2026-10-03 from the original tracker. Original status nuances preserved on the Notes sheet.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</si>
</sst>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808080"/>
      </font>
      <fill>
        <patternFill>
          <bgColor rgb="FFF2F2F2"/>
        </patternFill>
      </fill>
    </dxf>
    <dxf>
      <font>
        <color rgb="FFBFBFBF"/>
      </font>
      <fill>
        <patternFill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NotesTable" displayName="NotesTable" ref="A1:E10" headerRowCount="1" totalsRowCount="0" totalsRowShown="0">
  <autoFilter ref="A1:E10"/>
  <tableColumns count="5">
    <tableColumn id="1" name="Date"/>
    <tableColumn id="2" name="Project"/>
    <tableColumn id="3" name="SKU / Variant"/>
    <tableColumn id="4" name="Author"/>
    <tableColumn id="5" name="Note"/>
  </tableColumns>
</table>
</file>

<file path=xl/tables/table2.xml><?xml version="1.0" encoding="utf-8"?>
<table xmlns="http://schemas.openxmlformats.org/spreadsheetml/2006/main" id="2" name="TrackerTable" displayName="TrackerTable" ref="A1:Q23" headerRowCount="1" totalsRowCount="0" totalsRowShown="0">
  <autoFilter ref="A1:Q23"/>
  <tableColumns count="17">
    <tableColumn id="1" name="Row ID"/>
    <tableColumn id="2" name="Project"/>
    <tableColumn id="3" name="SKU / Variant"/>
    <tableColumn id="4" name="APIs"/>
    <tableColumn id="5" name="Strengths"/>
    <tableColumn id="6" name="Dosage Form"/>
    <tableColumn id="7" name="Initial Intake"/>
    <tableColumn id="8" name="APIs to Pete Pharma"/>
    <tableColumn id="9" name="Formula Development"/>
    <tableColumn id="10" name="Samples to Curexa"/>
    <tableColumn id="11" name="Sample Feedback"/>
    <tableColumn id="12" name="Formula Finalized"/>
    <tableColumn id="13" name="SOP Finalized"/>
    <tableColumn id="14" name="Production"/>
    <tableColumn id="15" name="Progress"/>
    <tableColumn id="16" name="Last Updated"/>
    <tableColumn id="17" name="Updated B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14" min="7" style="0" width="14"/>
    <col collapsed="false" customWidth="true" hidden="false" outlineLevel="0" max="15" min="15" style="0" width="9"/>
    <col collapsed="false" customWidth="true" hidden="false" outlineLevel="0" max="17" min="16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23.8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s">
        <v>19</v>
      </c>
      <c r="F2" s="2" t="s">
        <v>21</v>
      </c>
      <c r="G2" s="2" t="s">
        <v>22</v>
      </c>
      <c r="H2" s="2" t="s">
        <v>23</v>
      </c>
      <c r="I2" s="2" t="s">
        <v>22</v>
      </c>
      <c r="J2" s="2" t="s">
        <v>22</v>
      </c>
      <c r="K2" s="2" t="s">
        <v>24</v>
      </c>
      <c r="L2" s="2" t="s">
        <v>22</v>
      </c>
      <c r="M2" s="2" t="s">
        <v>22</v>
      </c>
      <c r="N2" s="2" t="s">
        <v>25</v>
      </c>
      <c r="O2" s="3" t="n">
        <f aca="false">IF(8-COUNTIF(G2:N2,"N/A")=0,"",COUNTIF(G2:N2,"Completed")/(8-COUNTIF(G2:N2,"N/A")))</f>
        <v>0.714285714285714</v>
      </c>
      <c r="P2" s="2" t="s">
        <v>26</v>
      </c>
      <c r="Q2" s="2" t="s">
        <v>27</v>
      </c>
    </row>
    <row r="3" customFormat="false" ht="15" hidden="false" customHeight="false" outlineLevel="0" collapsed="false">
      <c r="A3" s="2" t="s">
        <v>28</v>
      </c>
      <c r="B3" s="2" t="s">
        <v>29</v>
      </c>
      <c r="C3" s="2" t="s">
        <v>19</v>
      </c>
      <c r="D3" s="2" t="s">
        <v>30</v>
      </c>
      <c r="E3" s="2" t="s">
        <v>31</v>
      </c>
      <c r="F3" s="2" t="s">
        <v>21</v>
      </c>
      <c r="G3" s="2" t="s">
        <v>22</v>
      </c>
      <c r="H3" s="2" t="s">
        <v>22</v>
      </c>
      <c r="I3" s="2" t="s">
        <v>22</v>
      </c>
      <c r="J3" s="2" t="s">
        <v>22</v>
      </c>
      <c r="K3" s="2" t="s">
        <v>24</v>
      </c>
      <c r="L3" s="2" t="s">
        <v>22</v>
      </c>
      <c r="M3" s="2" t="s">
        <v>22</v>
      </c>
      <c r="N3" s="2" t="s">
        <v>25</v>
      </c>
      <c r="O3" s="3" t="n">
        <f aca="false">IF(8-COUNTIF(G3:N3,"N/A")=0,"",COUNTIF(G3:N3,"Completed")/(8-COUNTIF(G3:N3,"N/A")))</f>
        <v>0.75</v>
      </c>
      <c r="P3" s="2" t="s">
        <v>26</v>
      </c>
      <c r="Q3" s="2" t="s">
        <v>27</v>
      </c>
    </row>
    <row r="4" customFormat="false" ht="23.85" hidden="false" customHeight="false" outlineLevel="0" collapsed="false">
      <c r="A4" s="2" t="s">
        <v>32</v>
      </c>
      <c r="B4" s="2" t="s">
        <v>33</v>
      </c>
      <c r="C4" s="2" t="s">
        <v>19</v>
      </c>
      <c r="D4" s="2" t="s">
        <v>34</v>
      </c>
      <c r="E4" s="2" t="s">
        <v>35</v>
      </c>
      <c r="F4" s="2" t="s">
        <v>21</v>
      </c>
      <c r="G4" s="2" t="s">
        <v>22</v>
      </c>
      <c r="H4" s="2" t="s">
        <v>22</v>
      </c>
      <c r="I4" s="2" t="s">
        <v>24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25</v>
      </c>
      <c r="O4" s="3" t="n">
        <f aca="false">IF(8-COUNTIF(G4:N4,"N/A")=0,"",COUNTIF(G4:N4,"Completed")/(8-COUNTIF(G4:N4,"N/A")))</f>
        <v>0.75</v>
      </c>
      <c r="P4" s="2" t="s">
        <v>26</v>
      </c>
      <c r="Q4" s="2" t="s">
        <v>27</v>
      </c>
    </row>
    <row r="5" customFormat="false" ht="23.85" hidden="false" customHeight="false" outlineLevel="0" collapsed="false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22</v>
      </c>
      <c r="H5" s="2" t="s">
        <v>22</v>
      </c>
      <c r="I5" s="2" t="s">
        <v>22</v>
      </c>
      <c r="J5" s="2" t="s">
        <v>22</v>
      </c>
      <c r="K5" s="2" t="s">
        <v>22</v>
      </c>
      <c r="L5" s="2" t="s">
        <v>25</v>
      </c>
      <c r="M5" s="2" t="s">
        <v>25</v>
      </c>
      <c r="N5" s="2" t="s">
        <v>25</v>
      </c>
      <c r="O5" s="3" t="n">
        <f aca="false">IF(8-COUNTIF(G5:N5,"N/A")=0,"",COUNTIF(G5:N5,"Completed")/(8-COUNTIF(G5:N5,"N/A")))</f>
        <v>0.625</v>
      </c>
      <c r="P5" s="2" t="s">
        <v>26</v>
      </c>
      <c r="Q5" s="2" t="s">
        <v>27</v>
      </c>
    </row>
    <row r="6" customFormat="false" ht="23.85" hidden="false" customHeight="false" outlineLevel="0" collapsed="false">
      <c r="A6" s="2" t="s">
        <v>42</v>
      </c>
      <c r="B6" s="2" t="s">
        <v>37</v>
      </c>
      <c r="C6" s="2" t="s">
        <v>43</v>
      </c>
      <c r="D6" s="2" t="s">
        <v>39</v>
      </c>
      <c r="E6" s="2" t="s">
        <v>44</v>
      </c>
      <c r="F6" s="2" t="s">
        <v>41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25</v>
      </c>
      <c r="M6" s="2" t="s">
        <v>25</v>
      </c>
      <c r="N6" s="2" t="s">
        <v>25</v>
      </c>
      <c r="O6" s="3" t="n">
        <f aca="false">IF(8-COUNTIF(G6:N6,"N/A")=0,"",COUNTIF(G6:N6,"Completed")/(8-COUNTIF(G6:N6,"N/A")))</f>
        <v>0.625</v>
      </c>
      <c r="P6" s="2" t="s">
        <v>26</v>
      </c>
      <c r="Q6" s="2" t="s">
        <v>27</v>
      </c>
    </row>
    <row r="7" customFormat="false" ht="23.85" hidden="false" customHeight="false" outlineLevel="0" collapsed="false">
      <c r="A7" s="2" t="s">
        <v>45</v>
      </c>
      <c r="B7" s="2" t="s">
        <v>37</v>
      </c>
      <c r="C7" s="2" t="s">
        <v>46</v>
      </c>
      <c r="D7" s="2" t="s">
        <v>47</v>
      </c>
      <c r="E7" s="2" t="s">
        <v>48</v>
      </c>
      <c r="F7" s="2" t="s">
        <v>41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25</v>
      </c>
      <c r="L7" s="2" t="s">
        <v>25</v>
      </c>
      <c r="M7" s="2" t="s">
        <v>25</v>
      </c>
      <c r="N7" s="2" t="s">
        <v>25</v>
      </c>
      <c r="O7" s="3" t="n">
        <f aca="false">IF(8-COUNTIF(G7:N7,"N/A")=0,"",COUNTIF(G7:N7,"Completed")/(8-COUNTIF(G7:N7,"N/A")))</f>
        <v>0.5</v>
      </c>
      <c r="P7" s="2" t="s">
        <v>26</v>
      </c>
      <c r="Q7" s="2" t="s">
        <v>27</v>
      </c>
    </row>
    <row r="8" customFormat="false" ht="23.85" hidden="false" customHeight="false" outlineLevel="0" collapsed="false">
      <c r="A8" s="2" t="s">
        <v>49</v>
      </c>
      <c r="B8" s="2" t="s">
        <v>37</v>
      </c>
      <c r="C8" s="2" t="s">
        <v>50</v>
      </c>
      <c r="D8" s="2" t="s">
        <v>47</v>
      </c>
      <c r="E8" s="2" t="s">
        <v>51</v>
      </c>
      <c r="F8" s="2" t="s">
        <v>41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25</v>
      </c>
      <c r="L8" s="2" t="s">
        <v>25</v>
      </c>
      <c r="M8" s="2" t="s">
        <v>25</v>
      </c>
      <c r="N8" s="2" t="s">
        <v>25</v>
      </c>
      <c r="O8" s="3" t="n">
        <f aca="false">IF(8-COUNTIF(G8:N8,"N/A")=0,"",COUNTIF(G8:N8,"Completed")/(8-COUNTIF(G8:N8,"N/A")))</f>
        <v>0.5</v>
      </c>
      <c r="P8" s="2" t="s">
        <v>26</v>
      </c>
      <c r="Q8" s="2" t="s">
        <v>27</v>
      </c>
    </row>
    <row r="9" customFormat="false" ht="23.85" hidden="false" customHeight="false" outlineLevel="0" collapsed="false">
      <c r="A9" s="2" t="s">
        <v>52</v>
      </c>
      <c r="B9" s="2" t="s">
        <v>37</v>
      </c>
      <c r="C9" s="2" t="s">
        <v>53</v>
      </c>
      <c r="D9" s="2" t="s">
        <v>54</v>
      </c>
      <c r="E9" s="2" t="s">
        <v>55</v>
      </c>
      <c r="F9" s="2" t="s">
        <v>41</v>
      </c>
      <c r="G9" s="2" t="s">
        <v>22</v>
      </c>
      <c r="H9" s="2" t="s">
        <v>56</v>
      </c>
      <c r="I9" s="2" t="s">
        <v>22</v>
      </c>
      <c r="J9" s="2" t="s">
        <v>25</v>
      </c>
      <c r="K9" s="2" t="s">
        <v>25</v>
      </c>
      <c r="L9" s="2" t="s">
        <v>25</v>
      </c>
      <c r="M9" s="2" t="s">
        <v>25</v>
      </c>
      <c r="N9" s="2" t="s">
        <v>25</v>
      </c>
      <c r="O9" s="3" t="n">
        <f aca="false">IF(8-COUNTIF(G9:N9,"N/A")=0,"",COUNTIF(G9:N9,"Completed")/(8-COUNTIF(G9:N9,"N/A")))</f>
        <v>0.25</v>
      </c>
      <c r="P9" s="2" t="s">
        <v>26</v>
      </c>
      <c r="Q9" s="2" t="s">
        <v>27</v>
      </c>
    </row>
    <row r="10" customFormat="false" ht="23.85" hidden="false" customHeight="false" outlineLevel="0" collapsed="false">
      <c r="A10" s="2" t="s">
        <v>57</v>
      </c>
      <c r="B10" s="2" t="s">
        <v>37</v>
      </c>
      <c r="C10" s="2" t="s">
        <v>58</v>
      </c>
      <c r="D10" s="2" t="s">
        <v>54</v>
      </c>
      <c r="E10" s="2" t="s">
        <v>59</v>
      </c>
      <c r="F10" s="2" t="s">
        <v>41</v>
      </c>
      <c r="G10" s="2" t="s">
        <v>22</v>
      </c>
      <c r="H10" s="2" t="s">
        <v>56</v>
      </c>
      <c r="I10" s="2" t="s">
        <v>22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3" t="n">
        <f aca="false">IF(8-COUNTIF(G10:N10,"N/A")=0,"",COUNTIF(G10:N10,"Completed")/(8-COUNTIF(G10:N10,"N/A")))</f>
        <v>0.25</v>
      </c>
      <c r="P10" s="2" t="s">
        <v>26</v>
      </c>
      <c r="Q10" s="2" t="s">
        <v>27</v>
      </c>
    </row>
    <row r="11" customFormat="false" ht="23.85" hidden="false" customHeight="false" outlineLevel="0" collapsed="false">
      <c r="A11" s="2" t="s">
        <v>60</v>
      </c>
      <c r="B11" s="2" t="s">
        <v>37</v>
      </c>
      <c r="C11" s="2" t="s">
        <v>61</v>
      </c>
      <c r="D11" s="2" t="s">
        <v>62</v>
      </c>
      <c r="E11" s="2" t="s">
        <v>63</v>
      </c>
      <c r="F11" s="2" t="s">
        <v>41</v>
      </c>
      <c r="G11" s="2" t="s">
        <v>22</v>
      </c>
      <c r="H11" s="2" t="s">
        <v>56</v>
      </c>
      <c r="I11" s="2" t="s">
        <v>22</v>
      </c>
      <c r="J11" s="2" t="s">
        <v>25</v>
      </c>
      <c r="K11" s="2" t="s">
        <v>25</v>
      </c>
      <c r="L11" s="2" t="s">
        <v>25</v>
      </c>
      <c r="M11" s="2" t="s">
        <v>25</v>
      </c>
      <c r="N11" s="2" t="s">
        <v>25</v>
      </c>
      <c r="O11" s="3" t="n">
        <f aca="false">IF(8-COUNTIF(G11:N11,"N/A")=0,"",COUNTIF(G11:N11,"Completed")/(8-COUNTIF(G11:N11,"N/A")))</f>
        <v>0.25</v>
      </c>
      <c r="P11" s="2" t="s">
        <v>26</v>
      </c>
      <c r="Q11" s="2" t="s">
        <v>27</v>
      </c>
    </row>
    <row r="12" customFormat="false" ht="23.85" hidden="false" customHeight="false" outlineLevel="0" collapsed="false">
      <c r="A12" s="2" t="s">
        <v>64</v>
      </c>
      <c r="B12" s="2" t="s">
        <v>37</v>
      </c>
      <c r="C12" s="2" t="s">
        <v>65</v>
      </c>
      <c r="D12" s="2" t="s">
        <v>62</v>
      </c>
      <c r="E12" s="2" t="s">
        <v>66</v>
      </c>
      <c r="F12" s="2" t="s">
        <v>41</v>
      </c>
      <c r="G12" s="2" t="s">
        <v>22</v>
      </c>
      <c r="H12" s="2" t="s">
        <v>56</v>
      </c>
      <c r="I12" s="2" t="s">
        <v>22</v>
      </c>
      <c r="J12" s="2" t="s">
        <v>25</v>
      </c>
      <c r="K12" s="2" t="s">
        <v>25</v>
      </c>
      <c r="L12" s="2" t="s">
        <v>25</v>
      </c>
      <c r="M12" s="2" t="s">
        <v>25</v>
      </c>
      <c r="N12" s="2" t="s">
        <v>25</v>
      </c>
      <c r="O12" s="3" t="n">
        <f aca="false">IF(8-COUNTIF(G12:N12,"N/A")=0,"",COUNTIF(G12:N12,"Completed")/(8-COUNTIF(G12:N12,"N/A")))</f>
        <v>0.25</v>
      </c>
      <c r="P12" s="2" t="s">
        <v>26</v>
      </c>
      <c r="Q12" s="2" t="s">
        <v>27</v>
      </c>
    </row>
    <row r="13" customFormat="false" ht="23.85" hidden="false" customHeight="false" outlineLevel="0" collapsed="false">
      <c r="A13" s="2" t="s">
        <v>67</v>
      </c>
      <c r="B13" s="2" t="s">
        <v>37</v>
      </c>
      <c r="C13" s="2" t="s">
        <v>68</v>
      </c>
      <c r="D13" s="2" t="s">
        <v>69</v>
      </c>
      <c r="E13" s="2" t="s">
        <v>70</v>
      </c>
      <c r="F13" s="2" t="s">
        <v>41</v>
      </c>
      <c r="G13" s="2" t="s">
        <v>22</v>
      </c>
      <c r="H13" s="2" t="s">
        <v>56</v>
      </c>
      <c r="I13" s="2" t="s">
        <v>22</v>
      </c>
      <c r="J13" s="2" t="s">
        <v>25</v>
      </c>
      <c r="K13" s="2" t="s">
        <v>25</v>
      </c>
      <c r="L13" s="2" t="s">
        <v>25</v>
      </c>
      <c r="M13" s="2" t="s">
        <v>25</v>
      </c>
      <c r="N13" s="2" t="s">
        <v>25</v>
      </c>
      <c r="O13" s="3" t="n">
        <f aca="false">IF(8-COUNTIF(G13:N13,"N/A")=0,"",COUNTIF(G13:N13,"Completed")/(8-COUNTIF(G13:N13,"N/A")))</f>
        <v>0.25</v>
      </c>
      <c r="P13" s="2" t="s">
        <v>26</v>
      </c>
      <c r="Q13" s="2" t="s">
        <v>27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73</v>
      </c>
      <c r="F14" s="2" t="s">
        <v>75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24</v>
      </c>
      <c r="O14" s="3" t="n">
        <f aca="false">IF(8-COUNTIF(G14:N14,"N/A")=0,"",COUNTIF(G14:N14,"Completed")/(8-COUNTIF(G14:N14,"N/A")))</f>
        <v>0.875</v>
      </c>
      <c r="P14" s="2" t="s">
        <v>26</v>
      </c>
      <c r="Q14" s="2" t="s">
        <v>27</v>
      </c>
    </row>
    <row r="15" customFormat="false" ht="15" hidden="false" customHeight="false" outlineLevel="0" collapsed="false">
      <c r="A15" s="2" t="s">
        <v>76</v>
      </c>
      <c r="B15" s="2" t="s">
        <v>72</v>
      </c>
      <c r="C15" s="2" t="s">
        <v>77</v>
      </c>
      <c r="D15" s="2" t="s">
        <v>74</v>
      </c>
      <c r="E15" s="2" t="s">
        <v>77</v>
      </c>
      <c r="F15" s="2" t="s">
        <v>75</v>
      </c>
      <c r="G15" s="2" t="s">
        <v>22</v>
      </c>
      <c r="H15" s="2" t="s">
        <v>22</v>
      </c>
      <c r="I15" s="2" t="s">
        <v>22</v>
      </c>
      <c r="J15" s="2" t="s">
        <v>22</v>
      </c>
      <c r="K15" s="2" t="s">
        <v>22</v>
      </c>
      <c r="L15" s="2" t="s">
        <v>22</v>
      </c>
      <c r="M15" s="2" t="s">
        <v>22</v>
      </c>
      <c r="N15" s="2" t="s">
        <v>24</v>
      </c>
      <c r="O15" s="3" t="n">
        <f aca="false">IF(8-COUNTIF(G15:N15,"N/A")=0,"",COUNTIF(G15:N15,"Completed")/(8-COUNTIF(G15:N15,"N/A")))</f>
        <v>0.875</v>
      </c>
      <c r="P15" s="2" t="s">
        <v>26</v>
      </c>
      <c r="Q15" s="2" t="s">
        <v>27</v>
      </c>
    </row>
    <row r="16" customFormat="false" ht="23.85" hidden="false" customHeight="false" outlineLevel="0" collapsed="false">
      <c r="A16" s="2" t="s">
        <v>78</v>
      </c>
      <c r="B16" s="2" t="s">
        <v>79</v>
      </c>
      <c r="C16" s="2" t="s">
        <v>19</v>
      </c>
      <c r="D16" s="2" t="s">
        <v>34</v>
      </c>
      <c r="E16" s="2" t="s">
        <v>80</v>
      </c>
      <c r="F16" s="2" t="s">
        <v>81</v>
      </c>
      <c r="G16" s="2" t="s">
        <v>22</v>
      </c>
      <c r="H16" s="2" t="s">
        <v>24</v>
      </c>
      <c r="I16" s="2" t="s">
        <v>24</v>
      </c>
      <c r="J16" s="2" t="s">
        <v>22</v>
      </c>
      <c r="K16" s="2" t="s">
        <v>22</v>
      </c>
      <c r="L16" s="2" t="s">
        <v>22</v>
      </c>
      <c r="M16" s="2" t="s">
        <v>22</v>
      </c>
      <c r="N16" s="2" t="s">
        <v>25</v>
      </c>
      <c r="O16" s="3" t="n">
        <f aca="false">IF(8-COUNTIF(G16:N16,"N/A")=0,"",COUNTIF(G16:N16,"Completed")/(8-COUNTIF(G16:N16,"N/A")))</f>
        <v>0.625</v>
      </c>
      <c r="P16" s="2" t="s">
        <v>26</v>
      </c>
      <c r="Q16" s="2" t="s">
        <v>27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s">
        <v>75</v>
      </c>
      <c r="G17" s="2" t="s">
        <v>22</v>
      </c>
      <c r="H17" s="2" t="s">
        <v>22</v>
      </c>
      <c r="I17" s="2" t="s">
        <v>24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25</v>
      </c>
      <c r="O17" s="3" t="n">
        <f aca="false">IF(8-COUNTIF(G17:N17,"N/A")=0,"",COUNTIF(G17:N17,"Completed")/(8-COUNTIF(G17:N17,"N/A")))</f>
        <v>0.75</v>
      </c>
      <c r="P17" s="2" t="s">
        <v>26</v>
      </c>
      <c r="Q17" s="2" t="s">
        <v>27</v>
      </c>
    </row>
    <row r="18" customFormat="false" ht="23.85" hidden="false" customHeight="false" outlineLevel="0" collapsed="false">
      <c r="A18" s="2" t="s">
        <v>87</v>
      </c>
      <c r="B18" s="2" t="s">
        <v>83</v>
      </c>
      <c r="C18" s="2" t="s">
        <v>88</v>
      </c>
      <c r="D18" s="2" t="s">
        <v>85</v>
      </c>
      <c r="E18" s="2" t="s">
        <v>89</v>
      </c>
      <c r="F18" s="2" t="s">
        <v>75</v>
      </c>
      <c r="G18" s="2" t="s">
        <v>22</v>
      </c>
      <c r="H18" s="2" t="s">
        <v>22</v>
      </c>
      <c r="I18" s="2" t="s">
        <v>24</v>
      </c>
      <c r="J18" s="2" t="s">
        <v>22</v>
      </c>
      <c r="K18" s="2" t="s">
        <v>22</v>
      </c>
      <c r="L18" s="2" t="s">
        <v>22</v>
      </c>
      <c r="M18" s="2" t="s">
        <v>22</v>
      </c>
      <c r="N18" s="2" t="s">
        <v>25</v>
      </c>
      <c r="O18" s="3" t="n">
        <f aca="false">IF(8-COUNTIF(G18:N18,"N/A")=0,"",COUNTIF(G18:N18,"Completed")/(8-COUNTIF(G18:N18,"N/A")))</f>
        <v>0.75</v>
      </c>
      <c r="P18" s="2" t="s">
        <v>26</v>
      </c>
      <c r="Q18" s="2" t="s">
        <v>27</v>
      </c>
    </row>
    <row r="19" customFormat="false" ht="15" hidden="false" customHeight="false" outlineLevel="0" collapsed="false">
      <c r="A19" s="2" t="s">
        <v>90</v>
      </c>
      <c r="B19" s="2" t="s">
        <v>83</v>
      </c>
      <c r="C19" s="2" t="s">
        <v>91</v>
      </c>
      <c r="D19" s="2" t="s">
        <v>85</v>
      </c>
      <c r="E19" s="2" t="s">
        <v>92</v>
      </c>
      <c r="F19" s="2" t="s">
        <v>75</v>
      </c>
      <c r="G19" s="2" t="s">
        <v>22</v>
      </c>
      <c r="H19" s="2" t="s">
        <v>22</v>
      </c>
      <c r="I19" s="2" t="s">
        <v>24</v>
      </c>
      <c r="J19" s="2" t="s">
        <v>22</v>
      </c>
      <c r="K19" s="2" t="s">
        <v>22</v>
      </c>
      <c r="L19" s="2" t="s">
        <v>22</v>
      </c>
      <c r="M19" s="2" t="s">
        <v>22</v>
      </c>
      <c r="N19" s="2" t="s">
        <v>25</v>
      </c>
      <c r="O19" s="3" t="n">
        <f aca="false">IF(8-COUNTIF(G19:N19,"N/A")=0,"",COUNTIF(G19:N19,"Completed")/(8-COUNTIF(G19:N19,"N/A")))</f>
        <v>0.75</v>
      </c>
      <c r="P19" s="2" t="s">
        <v>26</v>
      </c>
      <c r="Q19" s="2" t="s">
        <v>27</v>
      </c>
    </row>
    <row r="20" customFormat="false" ht="23.85" hidden="false" customHeight="false" outlineLevel="0" collapsed="false">
      <c r="A20" s="2" t="s">
        <v>93</v>
      </c>
      <c r="B20" s="2" t="s">
        <v>94</v>
      </c>
      <c r="C20" s="2" t="s">
        <v>19</v>
      </c>
      <c r="D20" s="2" t="s">
        <v>95</v>
      </c>
      <c r="E20" s="2" t="s">
        <v>96</v>
      </c>
      <c r="F20" s="2" t="s">
        <v>75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25</v>
      </c>
      <c r="O20" s="3" t="n">
        <f aca="false">IF(8-COUNTIF(G20:N20,"N/A")=0,"",COUNTIF(G20:N20,"Completed")/(8-COUNTIF(G20:N20,"N/A")))</f>
        <v>0.875</v>
      </c>
      <c r="P20" s="2" t="s">
        <v>26</v>
      </c>
      <c r="Q20" s="2" t="s">
        <v>27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2" t="s">
        <v>19</v>
      </c>
      <c r="D21" s="2" t="s">
        <v>99</v>
      </c>
      <c r="E21" s="2" t="s">
        <v>99</v>
      </c>
      <c r="F21" s="2" t="s">
        <v>98</v>
      </c>
      <c r="G21" s="2" t="s">
        <v>24</v>
      </c>
      <c r="H21" s="2" t="s">
        <v>25</v>
      </c>
      <c r="I21" s="2" t="s">
        <v>25</v>
      </c>
      <c r="J21" s="2" t="s">
        <v>25</v>
      </c>
      <c r="K21" s="2" t="s">
        <v>25</v>
      </c>
      <c r="L21" s="2" t="s">
        <v>25</v>
      </c>
      <c r="M21" s="2" t="s">
        <v>25</v>
      </c>
      <c r="N21" s="2" t="s">
        <v>25</v>
      </c>
      <c r="O21" s="3" t="n">
        <f aca="false">IF(8-COUNTIF(G21:N21,"N/A")=0,"",COUNTIF(G21:N21,"Completed")/(8-COUNTIF(G21:N21,"N/A")))</f>
        <v>0</v>
      </c>
      <c r="P21" s="2" t="s">
        <v>26</v>
      </c>
      <c r="Q21" s="2" t="s">
        <v>27</v>
      </c>
    </row>
    <row r="22" customFormat="false" ht="23.85" hidden="false" customHeight="false" outlineLevel="0" collapsed="false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s">
        <v>105</v>
      </c>
      <c r="G22" s="2" t="s">
        <v>22</v>
      </c>
      <c r="H22" s="2" t="s">
        <v>24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3" t="n">
        <f aca="false">IF(8-COUNTIF(G22:N22,"N/A")=0,"",COUNTIF(G22:N22,"Completed")/(8-COUNTIF(G22:N22,"N/A")))</f>
        <v>0.125</v>
      </c>
      <c r="P22" s="2" t="s">
        <v>26</v>
      </c>
      <c r="Q22" s="2" t="s">
        <v>27</v>
      </c>
    </row>
    <row r="23" customFormat="false" ht="35.05" hidden="false" customHeight="false" outlineLevel="0" collapsed="false">
      <c r="A23" s="2" t="s">
        <v>106</v>
      </c>
      <c r="B23" s="2" t="s">
        <v>101</v>
      </c>
      <c r="C23" s="2" t="s">
        <v>107</v>
      </c>
      <c r="D23" s="2" t="s">
        <v>108</v>
      </c>
      <c r="E23" s="2" t="s">
        <v>109</v>
      </c>
      <c r="F23" s="2" t="s">
        <v>105</v>
      </c>
      <c r="G23" s="2" t="s">
        <v>22</v>
      </c>
      <c r="H23" s="2" t="s">
        <v>24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25</v>
      </c>
      <c r="N23" s="2" t="s">
        <v>25</v>
      </c>
      <c r="O23" s="3" t="n">
        <f aca="false">IF(8-COUNTIF(G23:N23,"N/A")=0,"",COUNTIF(G23:N23,"Completed")/(8-COUNTIF(G23:N23,"N/A")))</f>
        <v>0.125</v>
      </c>
      <c r="P23" s="2" t="s">
        <v>26</v>
      </c>
      <c r="Q23" s="2" t="s">
        <v>27</v>
      </c>
    </row>
  </sheetData>
  <conditionalFormatting sqref="G2:N23">
    <cfRule type="cellIs" priority="2" operator="equal" aboveAverage="0" equalAverage="0" bottom="0" percent="0" rank="0" text="" dxfId="12">
      <formula>"Completed"</formula>
    </cfRule>
    <cfRule type="cellIs" priority="3" operator="equal" aboveAverage="0" equalAverage="0" bottom="0" percent="0" rank="0" text="" dxfId="13">
      <formula>"In Progress"</formula>
    </cfRule>
    <cfRule type="cellIs" priority="4" operator="equal" aboveAverage="0" equalAverage="0" bottom="0" percent="0" rank="0" text="" dxfId="14">
      <formula>"Blocked"</formula>
    </cfRule>
    <cfRule type="cellIs" priority="5" operator="equal" aboveAverage="0" equalAverage="0" bottom="0" percent="0" rank="0" text="" dxfId="15">
      <formula>"Not Started"</formula>
    </cfRule>
    <cfRule type="cellIs" priority="6" operator="equal" aboveAverage="0" equalAverage="0" bottom="0" percent="0" rank="0" text="" dxfId="16">
      <formula>"N/A"</formula>
    </cfRule>
  </conditionalFormatting>
  <dataValidations count="1">
    <dataValidation allowBlank="true" error="Pick a status from the list: Not Started, In Progress, Blocked, Completed, N/A" errorStyle="stop" operator="between" showDropDown="false" showErrorMessage="true" showInputMessage="false" sqref="G2:N23" type="list">
      <formula1>"Not Started,In Progress,Blocked,Completed,N/A"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4" t="s">
        <v>110</v>
      </c>
      <c r="B1" s="4" t="s">
        <v>1</v>
      </c>
      <c r="C1" s="4" t="s">
        <v>2</v>
      </c>
      <c r="D1" s="4" t="s">
        <v>111</v>
      </c>
      <c r="E1" s="4" t="s">
        <v>112</v>
      </c>
    </row>
    <row r="2" customFormat="false" ht="23.85" hidden="false" customHeight="false" outlineLevel="0" collapsed="false">
      <c r="A2" s="2" t="s">
        <v>26</v>
      </c>
      <c r="B2" s="2" t="s">
        <v>27</v>
      </c>
      <c r="C2" s="2" t="s">
        <v>19</v>
      </c>
      <c r="D2" s="2" t="s">
        <v>113</v>
      </c>
      <c r="E2" s="2" t="s">
        <v>114</v>
      </c>
    </row>
    <row r="3" customFormat="false" ht="15" hidden="false" customHeight="false" outlineLevel="0" collapsed="false">
      <c r="A3" s="2" t="s">
        <v>26</v>
      </c>
      <c r="B3" s="2" t="s">
        <v>37</v>
      </c>
      <c r="C3" s="2" t="s">
        <v>115</v>
      </c>
      <c r="D3" s="2" t="s">
        <v>27</v>
      </c>
      <c r="E3" s="2" t="s">
        <v>116</v>
      </c>
    </row>
    <row r="4" customFormat="false" ht="23.85" hidden="false" customHeight="false" outlineLevel="0" collapsed="false">
      <c r="A4" s="2" t="s">
        <v>26</v>
      </c>
      <c r="B4" s="2" t="s">
        <v>33</v>
      </c>
      <c r="C4" s="2" t="s">
        <v>19</v>
      </c>
      <c r="D4" s="2" t="s">
        <v>27</v>
      </c>
      <c r="E4" s="2" t="s">
        <v>117</v>
      </c>
    </row>
    <row r="5" customFormat="false" ht="23.85" hidden="false" customHeight="false" outlineLevel="0" collapsed="false">
      <c r="A5" s="2" t="s">
        <v>26</v>
      </c>
      <c r="B5" s="2" t="s">
        <v>79</v>
      </c>
      <c r="C5" s="2" t="s">
        <v>19</v>
      </c>
      <c r="D5" s="2" t="s">
        <v>27</v>
      </c>
      <c r="E5" s="2" t="s">
        <v>118</v>
      </c>
    </row>
    <row r="6" customFormat="false" ht="15" hidden="false" customHeight="false" outlineLevel="0" collapsed="false">
      <c r="A6" s="2" t="s">
        <v>26</v>
      </c>
      <c r="B6" s="2" t="s">
        <v>83</v>
      </c>
      <c r="C6" s="2" t="s">
        <v>119</v>
      </c>
      <c r="D6" s="2" t="s">
        <v>27</v>
      </c>
      <c r="E6" s="2" t="s">
        <v>120</v>
      </c>
    </row>
    <row r="7" customFormat="false" ht="23.85" hidden="false" customHeight="false" outlineLevel="0" collapsed="false">
      <c r="A7" s="2" t="s">
        <v>26</v>
      </c>
      <c r="B7" s="2" t="s">
        <v>18</v>
      </c>
      <c r="C7" s="2" t="s">
        <v>19</v>
      </c>
      <c r="D7" s="2" t="s">
        <v>27</v>
      </c>
      <c r="E7" s="2" t="s">
        <v>121</v>
      </c>
    </row>
    <row r="8" customFormat="false" ht="15" hidden="false" customHeight="false" outlineLevel="0" collapsed="false">
      <c r="A8" s="2" t="s">
        <v>26</v>
      </c>
      <c r="B8" s="2" t="s">
        <v>29</v>
      </c>
      <c r="C8" s="2" t="s">
        <v>19</v>
      </c>
      <c r="D8" s="2" t="s">
        <v>27</v>
      </c>
      <c r="E8" s="2" t="s">
        <v>121</v>
      </c>
    </row>
    <row r="9" customFormat="false" ht="23.85" hidden="false" customHeight="false" outlineLevel="0" collapsed="false">
      <c r="A9" s="2" t="s">
        <v>26</v>
      </c>
      <c r="B9" s="2" t="s">
        <v>98</v>
      </c>
      <c r="C9" s="2" t="s">
        <v>19</v>
      </c>
      <c r="D9" s="2" t="s">
        <v>27</v>
      </c>
      <c r="E9" s="2" t="s">
        <v>122</v>
      </c>
    </row>
    <row r="10" customFormat="false" ht="23.85" hidden="false" customHeight="false" outlineLevel="0" collapsed="false">
      <c r="A10" s="2" t="s">
        <v>26</v>
      </c>
      <c r="B10" s="2" t="s">
        <v>101</v>
      </c>
      <c r="C10" s="2" t="s">
        <v>123</v>
      </c>
      <c r="D10" s="2" t="s">
        <v>27</v>
      </c>
      <c r="E10" s="2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5" t="s">
        <v>125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7" t="s">
        <v>126</v>
      </c>
    </row>
    <row r="4" customFormat="false" ht="15" hidden="false" customHeight="false" outlineLevel="0" collapsed="false">
      <c r="A4" s="6" t="s">
        <v>127</v>
      </c>
    </row>
    <row r="5" customFormat="false" ht="15" hidden="false" customHeight="false" outlineLevel="0" collapsed="false">
      <c r="A5" s="6" t="s">
        <v>128</v>
      </c>
    </row>
    <row r="6" customFormat="false" ht="15" hidden="false" customHeight="false" outlineLevel="0" collapsed="false">
      <c r="A6" s="6" t="s">
        <v>129</v>
      </c>
    </row>
    <row r="7" customFormat="false" ht="15" hidden="false" customHeight="false" outlineLevel="0" collapsed="false">
      <c r="A7" s="6" t="s">
        <v>130</v>
      </c>
    </row>
    <row r="8" customFormat="false" ht="15" hidden="false" customHeight="false" outlineLevel="0" collapsed="false">
      <c r="A8" s="6" t="s">
        <v>131</v>
      </c>
    </row>
    <row r="9" customFormat="false" ht="15" hidden="false" customHeight="false" outlineLevel="0" collapsed="false">
      <c r="A9" s="6"/>
    </row>
    <row r="10" customFormat="false" ht="15" hidden="false" customHeight="false" outlineLevel="0" collapsed="false">
      <c r="A10" s="7" t="s">
        <v>132</v>
      </c>
    </row>
    <row r="11" customFormat="false" ht="15" hidden="false" customHeight="false" outlineLevel="0" collapsed="false">
      <c r="A11" s="6" t="s">
        <v>133</v>
      </c>
    </row>
    <row r="12" customFormat="false" ht="15" hidden="false" customHeight="false" outlineLevel="0" collapsed="false">
      <c r="A12" s="6" t="s">
        <v>134</v>
      </c>
    </row>
    <row r="13" customFormat="false" ht="15" hidden="false" customHeight="false" outlineLevel="0" collapsed="false">
      <c r="A13" s="6" t="s">
        <v>135</v>
      </c>
    </row>
    <row r="14" customFormat="false" ht="15" hidden="false" customHeight="false" outlineLevel="0" collapsed="false">
      <c r="A14" s="6"/>
    </row>
    <row r="15" customFormat="false" ht="15" hidden="false" customHeight="false" outlineLevel="0" collapsed="false">
      <c r="A15" s="7" t="s">
        <v>136</v>
      </c>
    </row>
    <row r="16" customFormat="false" ht="15" hidden="false" customHeight="false" outlineLevel="0" collapsed="false">
      <c r="A16" s="6" t="s">
        <v>137</v>
      </c>
    </row>
    <row r="17" customFormat="false" ht="15" hidden="false" customHeight="false" outlineLevel="0" collapsed="false">
      <c r="A17" s="6"/>
    </row>
    <row r="18" customFormat="false" ht="15" hidden="false" customHeight="false" outlineLevel="0" collapsed="false">
      <c r="A18" s="7" t="s">
        <v>138</v>
      </c>
    </row>
    <row r="19" customFormat="false" ht="15" hidden="false" customHeight="false" outlineLevel="0" collapsed="false">
      <c r="A19" s="6" t="s">
        <v>139</v>
      </c>
    </row>
    <row r="20" customFormat="false" ht="15" hidden="false" customHeight="false" outlineLevel="0" collapsed="false">
      <c r="A20" s="6" t="s">
        <v>140</v>
      </c>
    </row>
    <row r="21" customFormat="false" ht="15" hidden="false" customHeight="false" outlineLevel="0" collapsed="false">
      <c r="A21" s="6" t="s">
        <v>141</v>
      </c>
    </row>
    <row r="22" customFormat="false" ht="15" hidden="false" customHeight="false" outlineLevel="0" collapsed="false">
      <c r="A22" s="6" t="s">
        <v>142</v>
      </c>
    </row>
    <row r="23" customFormat="false" ht="15" hidden="false" customHeight="false" outlineLevel="0" collapsed="false">
      <c r="A23" s="6" t="s">
        <v>143</v>
      </c>
    </row>
    <row r="24" customFormat="false" ht="15" hidden="false" customHeight="false" outlineLevel="0" collapsed="false">
      <c r="A24" s="6"/>
    </row>
    <row r="25" customFormat="false" ht="15" hidden="false" customHeight="false" outlineLevel="0" collapsed="false">
      <c r="A25" s="6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2026-10-04T04:39:47Z</dcterms:created>
  <dc:creator>openpyxl</dc:creator>
  <dc:description/>
  <dc:language>en-US</dc:language>
  <cp:lastModifiedBy/>
  <dcterms:modified xsi:type="dcterms:W3CDTF">2026-10-04T04:39:47Z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