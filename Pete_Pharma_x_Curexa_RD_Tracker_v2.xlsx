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Notes" sheetId="2" state="visible" r:id="rId4"/>
    <sheet name="ReadM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<sst xmlns="http://schemas.openxmlformats.org/spreadsheetml/2006/main" count="472" uniqueCount="157">
  <si>
    <t xml:space="preserve">Row ID</t>
  </si>
  <si>
    <t xml:space="preserve">Project</t>
  </si>
  <si>
    <t xml:space="preserve">SKU / Variant</t>
  </si>
  <si>
    <t xml:space="preserve">APIs</t>
  </si>
  <si>
    <t xml:space="preserve">Strengths</t>
  </si>
  <si>
    <t xml:space="preserve">Dosage Form</t>
  </si>
  <si>
    <t xml:space="preserve">Project Status</t>
  </si>
  <si>
    <t xml:space="preserve">Initial Intake</t>
  </si>
  <si>
    <t xml:space="preserve">APIs to Pete Pharma</t>
  </si>
  <si>
    <t xml:space="preserve">Formula Development</t>
  </si>
  <si>
    <t xml:space="preserve">Samples to Curexa</t>
  </si>
  <si>
    <t xml:space="preserve">Sample Feedback</t>
  </si>
  <si>
    <t xml:space="preserve">Formula Finalized</t>
  </si>
  <si>
    <t xml:space="preserve">SOP Finalized</t>
  </si>
  <si>
    <t xml:space="preserve">Production</t>
  </si>
  <si>
    <t xml:space="preserve">Progress</t>
  </si>
  <si>
    <t xml:space="preserve">Last Updated</t>
  </si>
  <si>
    <t xml:space="preserve">Updated By</t>
  </si>
  <si>
    <t xml:space="preserve">Initial Intake Date</t>
  </si>
  <si>
    <t xml:space="preserve">APIs to Pete Pharma Date</t>
  </si>
  <si>
    <t xml:space="preserve">Formula Development Date</t>
  </si>
  <si>
    <t xml:space="preserve">Samples to Curexa Date</t>
  </si>
  <si>
    <t xml:space="preserve">Sample Feedback Date</t>
  </si>
  <si>
    <t xml:space="preserve">Formula Finalized Date</t>
  </si>
  <si>
    <t xml:space="preserve">SOP Finalized Date</t>
  </si>
  <si>
    <t xml:space="preserve">Production Date</t>
  </si>
  <si>
    <t xml:space="preserve">R001</t>
  </si>
  <si>
    <t xml:space="preserve">Topical Estriol Cream Formula Optimization (Anhydrous)</t>
  </si>
  <si>
    <t xml:space="preserve">—</t>
  </si>
  <si>
    <t xml:space="preserve">Estriol</t>
  </si>
  <si>
    <t xml:space="preserve">Topical Anhydrous</t>
  </si>
  <si>
    <t xml:space="preserve">Active</t>
  </si>
  <si>
    <t xml:space="preserve">Completed</t>
  </si>
  <si>
    <t xml:space="preserve">N/A</t>
  </si>
  <si>
    <t xml:space="preserve">In Progress</t>
  </si>
  <si>
    <t xml:space="preserve">Not Started</t>
  </si>
  <si>
    <t xml:space="preserve">2026-10-03</t>
  </si>
  <si>
    <t xml:space="preserve">Migration</t>
  </si>
  <si>
    <t xml:space="preserve">R002</t>
  </si>
  <si>
    <t xml:space="preserve">Bimatoprost Eye Serum (Anhydrous)</t>
  </si>
  <si>
    <t xml:space="preserve">Bimatoprost</t>
  </si>
  <si>
    <t xml:space="preserve">0.035%</t>
  </si>
  <si>
    <t xml:space="preserve">R003</t>
  </si>
  <si>
    <t xml:space="preserve">GHK-Cu Topical Hair Solution (Anhydrous)</t>
  </si>
  <si>
    <t xml:space="preserve">GHK-Cu</t>
  </si>
  <si>
    <t xml:space="preserve">4%</t>
  </si>
  <si>
    <t xml:space="preserve">R004</t>
  </si>
  <si>
    <t xml:space="preserve">Cardiovascular Oral Tablets</t>
  </si>
  <si>
    <t xml:space="preserve">SKU 1</t>
  </si>
  <si>
    <t xml:space="preserve">Atorvastatin; CoQ10; Resveratrol; Pyridoxine HCl</t>
  </si>
  <si>
    <t xml:space="preserve">11.5 mg; 100 mg; 100 mg; 2.44 mg</t>
  </si>
  <si>
    <t xml:space="preserve">Oral IR Tablet</t>
  </si>
  <si>
    <t xml:space="preserve">R005</t>
  </si>
  <si>
    <t xml:space="preserve">SKU 2</t>
  </si>
  <si>
    <t xml:space="preserve">23 mg; 100 mg; 100 mg; 2.44 mg</t>
  </si>
  <si>
    <t xml:space="preserve">R006</t>
  </si>
  <si>
    <t xml:space="preserve">SKU 3</t>
  </si>
  <si>
    <t xml:space="preserve">Atorvastatin; Ezetimibe; CoQ10; Resveratrol; Pyridoxine HCl</t>
  </si>
  <si>
    <t xml:space="preserve">11.5 mg; 8.5 mg; 100 mg; 100 mg; 2.44 mg</t>
  </si>
  <si>
    <t xml:space="preserve">R007</t>
  </si>
  <si>
    <t xml:space="preserve">SKU 4</t>
  </si>
  <si>
    <t xml:space="preserve">23 mg; 8.5 mg; 100 mg; 100 mg; 2.44 mg</t>
  </si>
  <si>
    <t xml:space="preserve">R008</t>
  </si>
  <si>
    <t xml:space="preserve">SKU 5</t>
  </si>
  <si>
    <t xml:space="preserve">Rosuvastatin; CoQ10; Resveratrol; Pyridoxine HCl</t>
  </si>
  <si>
    <t xml:space="preserve">5.6 mg; 100 mg; 100 mg; 2.44 mg</t>
  </si>
  <si>
    <t xml:space="preserve">Blocked</t>
  </si>
  <si>
    <t xml:space="preserve">R009</t>
  </si>
  <si>
    <t xml:space="preserve">SKU 6</t>
  </si>
  <si>
    <t xml:space="preserve">11.2 mg; 100 mg; 100 mg; 2.44 mg</t>
  </si>
  <si>
    <t xml:space="preserve">R010</t>
  </si>
  <si>
    <t xml:space="preserve">SKU 7</t>
  </si>
  <si>
    <t xml:space="preserve">Rosuvastatin; Ezetimibe; CoQ10; Resveratrol; Pyridoxine HCl</t>
  </si>
  <si>
    <t xml:space="preserve">5.6 mg; 8.5 mg; 100 mg; 100 mg; 2.44 mg</t>
  </si>
  <si>
    <t xml:space="preserve">R011</t>
  </si>
  <si>
    <t xml:space="preserve">SKU 8</t>
  </si>
  <si>
    <t xml:space="preserve">11.2 mg; 8.5 mg; 100 mg; 100 mg; 2.44 mg</t>
  </si>
  <si>
    <t xml:space="preserve">R012</t>
  </si>
  <si>
    <t xml:space="preserve">Sample run (200 tabs)</t>
  </si>
  <si>
    <t xml:space="preserve">Atorvastatin; Rosuvastatin; Ezetimibe; CoQ10; Resveratrol; Pyridoxine HCl</t>
  </si>
  <si>
    <t xml:space="preserve">23 mg; 11.2 mg; 8.5 mg; 100 mg; 100 mg; 2.44 mg</t>
  </si>
  <si>
    <t xml:space="preserve">R013</t>
  </si>
  <si>
    <t xml:space="preserve">Sermorelin Tablets</t>
  </si>
  <si>
    <t xml:space="preserve">1000 mcg</t>
  </si>
  <si>
    <t xml:space="preserve">Sermorelin</t>
  </si>
  <si>
    <t xml:space="preserve">ODT</t>
  </si>
  <si>
    <t xml:space="preserve">R014</t>
  </si>
  <si>
    <t xml:space="preserve">500 mcg</t>
  </si>
  <si>
    <t xml:space="preserve">R015</t>
  </si>
  <si>
    <t xml:space="preserve">Topical GHK-Cu Anhydrous Cream</t>
  </si>
  <si>
    <t xml:space="preserve">2%</t>
  </si>
  <si>
    <t xml:space="preserve">Versapro Anhydrous Topical</t>
  </si>
  <si>
    <t xml:space="preserve">R016</t>
  </si>
  <si>
    <t xml:space="preserve">Sildenafil/Tadalafil Combo ODT</t>
  </si>
  <si>
    <t xml:space="preserve">56/12 mg — White</t>
  </si>
  <si>
    <t xml:space="preserve">Sildenafil; Tadalafil</t>
  </si>
  <si>
    <t xml:space="preserve">56 mg; 12 mg</t>
  </si>
  <si>
    <t xml:space="preserve">R017</t>
  </si>
  <si>
    <t xml:space="preserve">84/17 mg — White/Blue Specks</t>
  </si>
  <si>
    <t xml:space="preserve">84 mg; 17 mg</t>
  </si>
  <si>
    <t xml:space="preserve">R018</t>
  </si>
  <si>
    <t xml:space="preserve">110/23 mg — Pale Blue</t>
  </si>
  <si>
    <t xml:space="preserve">110 mg; 23 mg</t>
  </si>
  <si>
    <t xml:space="preserve">R019</t>
  </si>
  <si>
    <t xml:space="preserve">NAD+/Glutathione/Methyl B12 ODT</t>
  </si>
  <si>
    <t xml:space="preserve">NAD+; Glutathione; Methylcobalamin (B12)</t>
  </si>
  <si>
    <t xml:space="preserve">150 mg; 50 mg; 1 mg</t>
  </si>
  <si>
    <t xml:space="preserve">R020</t>
  </si>
  <si>
    <t xml:space="preserve">Anhydrous Nasal Spray</t>
  </si>
  <si>
    <t xml:space="preserve">TBD</t>
  </si>
  <si>
    <t xml:space="preserve">R021</t>
  </si>
  <si>
    <t xml:space="preserve">Pre-Workout Powder Sachets</t>
  </si>
  <si>
    <t xml:space="preserve">Daily Performance</t>
  </si>
  <si>
    <t xml:space="preserve">Tadalafil; Creatine Monohydrate; L-Citrulline; Taurine</t>
  </si>
  <si>
    <t xml:space="preserve">5 mg; 5 g; 3 g; 1.5 g</t>
  </si>
  <si>
    <t xml:space="preserve">Powder for Oral Solution (Sachet)</t>
  </si>
  <si>
    <t xml:space="preserve">R022</t>
  </si>
  <si>
    <t xml:space="preserve">PRN Pre-Workout</t>
  </si>
  <si>
    <t xml:space="preserve">Sildenafil; L-Citrulline; Beta-Alanine; Taurine; Caffeine; L-Theanine; L-Tyrosine; Na/K/Mg</t>
  </si>
  <si>
    <t xml:space="preserve">25 mg; 5 g; 1.6 g; 1.5 g; 200 mg; 100 mg; 500 mg; 350/200/50 mg</t>
  </si>
  <si>
    <t xml:space="preserve">Date</t>
  </si>
  <si>
    <t xml:space="preserve">Author</t>
  </si>
  <si>
    <t xml:space="preserve">Note</t>
  </si>
  <si>
    <t xml:space="preserve">Claude (migration)</t>
  </si>
  <si>
    <t xml:space="preserve">Workbook restructured from original tracker: one row per SKU, standardized statuses (Not Started / In Progress / Blocked / Completed / N/A). Original nuance captured in the notes below.</t>
  </si>
  <si>
    <t xml:space="preserve">SKU 5–8 + sample run</t>
  </si>
  <si>
    <t xml:space="preserve">'APIs to Pete Pharma' marked Blocked — awaiting Rosuvastatin.</t>
  </si>
  <si>
    <t xml:space="preserve">Formula Development status was 'Re-evaluation in Progress'. Production noted as TBD.</t>
  </si>
  <si>
    <t xml:space="preserve">Target: periwinkle color; mask unpleasant odor. Open question from Curexa: 'How much GHK-Cu is remaining? We are working hard to find another vendor.'</t>
  </si>
  <si>
    <t xml:space="preserve">All SKUs</t>
  </si>
  <si>
    <t xml:space="preserve">25 samples of each SKU. Formula Development status was 'Re-evaluation in Progress'.</t>
  </si>
  <si>
    <t xml:space="preserve">'Samples to Curexa' was recorded as 'Pete Pharma Sample Completed'.</t>
  </si>
  <si>
    <t xml:space="preserve">Early intake. Open items: Curexa to send ingredient list + absorption data; must cross blood-brain barrier; ensure scalability; evaluate propanediol as base.</t>
  </si>
  <si>
    <t xml:space="preserve">Both SKUs</t>
  </si>
  <si>
    <t xml:space="preserve">Added from current formulation work: Curexa sending APIs for 10-sachet sample runs of each product. Formulation proposals drafted.</t>
  </si>
  <si>
    <t xml:space="preserve">Pete Pharma x Curexa — R&amp;D Project Tracker (v2)</t>
  </si>
  <si>
    <t xml:space="preserve">How this workbook works</t>
  </si>
  <si>
    <t xml:space="preserve">• One row per SKU/variant on the Tracker sheet. The portal website reads and writes this file via Microsoft Graph.</t>
  </si>
  <si>
    <t xml:space="preserve">• Stage columns (H–O) use a dropdown: Not Started / In Progress / Blocked / Completed / N/A. Please use only these values — the website relies on them.</t>
  </si>
  <si>
    <t xml:space="preserve">• Project Status (column G) groups projects on the website: Active / Paused / Licensed / Not Feasible.</t>
  </si>
  <si>
    <t xml:space="preserve">• The ...Date columns at the far right (S–Z) are stamped automatically by the website when a stage status changes. Leave them alone unless correcting a date (YYYY-MM-DD).</t>
  </si>
  <si>
    <t xml:space="preserve">• The Progress column is a formula (Completed stages ÷ applicable stages). Don't overwrite it.</t>
  </si>
  <si>
    <t xml:space="preserve">• Detail and discussion go on the Notes sheet (newest at the bottom). The website appends notes there too.</t>
  </si>
  <si>
    <t xml:space="preserve">• You can edit this file directly in Excel at any time — just keep the table structure: don't rename sheets, tables, or column headers.</t>
  </si>
  <si>
    <t xml:space="preserve">Editable cells</t>
  </si>
  <si>
    <t xml:space="preserve">• Tracker: columns B–G (project info + status) and H–O (stage statuses via dropdown).</t>
  </si>
  <si>
    <t xml:space="preserve">• Notes: add rows at the bottom of the table.</t>
  </si>
  <si>
    <t xml:space="preserve">• Row ID (column A) must stay unique — next available is R023.</t>
  </si>
  <si>
    <t xml:space="preserve">Example row format</t>
  </si>
  <si>
    <t xml:space="preserve">• R023 | "New Project Name" | "SKU 1" | "API A; API B" | "10 mg; 20 mg" | "ODT" | stage columns via dropdown.</t>
  </si>
  <si>
    <t xml:space="preserve">Status legend</t>
  </si>
  <si>
    <t xml:space="preserve">• Completed (green) — stage done</t>
  </si>
  <si>
    <t xml:space="preserve">• In Progress (yellow) — actively being worked</t>
  </si>
  <si>
    <t xml:space="preserve">• Blocked (red) — waiting on material/info (see Notes)</t>
  </si>
  <si>
    <t xml:space="preserve">• Not Started (gray) — not yet begun</t>
  </si>
  <si>
    <t xml:space="preserve">• N/A — stage doesn't apply to this project</t>
  </si>
  <si>
    <t xml:space="preserve">Migrated 2026-10-03 from the original tracker. Original status nuances preserved on the Notes sheet.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</si>
</sst>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8080"/>
      </font>
      <fill>
        <patternFill>
          <bgColor rgb="FFF2F2F2"/>
        </patternFill>
      </fill>
    </dxf>
    <dxf>
      <font>
        <color rgb="FFBFBFBF"/>
      </font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NotesTable" displayName="NotesTable" ref="A1:E10" headerRowCount="1" totalsRowCount="0" totalsRowShown="0">
  <autoFilter ref="A1:E10"/>
  <tableColumns count="5">
    <tableColumn id="1" name="Date"/>
    <tableColumn id="2" name="Project"/>
    <tableColumn id="3" name="SKU / Variant"/>
    <tableColumn id="4" name="Author"/>
    <tableColumn id="5" name="Note"/>
  </tableColumns>
</table>
</file>

<file path=xl/tables/table2.xml><?xml version="1.0" encoding="utf-8"?>
<table xmlns="http://schemas.openxmlformats.org/spreadsheetml/2006/main" id="2" name="TrackerTable" displayName="TrackerTable" ref="A1:Z23" headerRowCount="1" totalsRowCount="0" totalsRowShown="0">
  <autoFilter ref="A1:Z23"/>
  <tableColumns count="26">
    <tableColumn id="1" name="Row ID"/>
    <tableColumn id="2" name="Project"/>
    <tableColumn id="3" name="SKU / Variant"/>
    <tableColumn id="4" name="APIs"/>
    <tableColumn id="5" name="Strengths"/>
    <tableColumn id="6" name="Dosage Form"/>
    <tableColumn id="7" name="Project Status"/>
    <tableColumn id="8" name="Initial Intake"/>
    <tableColumn id="9" name="APIs to Pete Pharma"/>
    <tableColumn id="10" name="Formula Development"/>
    <tableColumn id="11" name="Samples to Curexa"/>
    <tableColumn id="12" name="Sample Feedback"/>
    <tableColumn id="13" name="Formula Finalized"/>
    <tableColumn id="14" name="SOP Finalized"/>
    <tableColumn id="15" name="Production"/>
    <tableColumn id="16" name="Progress"/>
    <tableColumn id="17" name="Last Updated"/>
    <tableColumn id="18" name="Updated By"/>
    <tableColumn id="19" name="Initial Intake Date"/>
    <tableColumn id="20" name="APIs to Pete Pharma Date"/>
    <tableColumn id="21" name="Formula Development Date"/>
    <tableColumn id="22" name="Samples to Curexa Date"/>
    <tableColumn id="23" name="Sample Feedback Date"/>
    <tableColumn id="24" name="Formula Finalized Date"/>
    <tableColumn id="25" name="SOP Finalized Date"/>
    <tableColumn id="26" name="Production Dat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6"/>
    <col collapsed="false" customWidth="true" hidden="false" outlineLevel="0" max="6" min="6" style="0" width="20"/>
    <col collapsed="false" customWidth="true" hidden="false" outlineLevel="0" max="7" min="7" style="0" width="13"/>
    <col collapsed="false" customWidth="true" hidden="false" outlineLevel="0" max="15" min="8" style="0" width="14"/>
    <col collapsed="false" customWidth="true" hidden="false" outlineLevel="0" max="16" min="16" style="0" width="9"/>
    <col collapsed="false" customWidth="true" hidden="false" outlineLevel="0" max="26" min="17" style="0" width="12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customFormat="false" ht="23.85" hidden="false" customHeight="false" outlineLevel="0" collapsed="false">
      <c r="A2" s="2" t="s">
        <v>26</v>
      </c>
      <c r="B2" s="2" t="s">
        <v>27</v>
      </c>
      <c r="C2" s="2" t="s">
        <v>28</v>
      </c>
      <c r="D2" s="2" t="s">
        <v>29</v>
      </c>
      <c r="E2" s="2" t="s">
        <v>28</v>
      </c>
      <c r="F2" s="2" t="s">
        <v>30</v>
      </c>
      <c r="G2" s="2" t="s">
        <v>31</v>
      </c>
      <c r="H2" s="2" t="s">
        <v>32</v>
      </c>
      <c r="I2" s="2" t="s">
        <v>33</v>
      </c>
      <c r="J2" s="2" t="s">
        <v>32</v>
      </c>
      <c r="K2" s="2" t="s">
        <v>32</v>
      </c>
      <c r="L2" s="2" t="s">
        <v>34</v>
      </c>
      <c r="M2" s="2" t="s">
        <v>32</v>
      </c>
      <c r="N2" s="2" t="s">
        <v>32</v>
      </c>
      <c r="O2" s="2" t="s">
        <v>35</v>
      </c>
      <c r="P2" s="3" t="n">
        <f aca="false">IF(8-COUNTIF(H2:O2,"N/A")=0,"",COUNTIF(H2:O2,"Completed")/(8-COUNTIF(H2:O2,"N/A")))</f>
        <v>0.714285714285714</v>
      </c>
      <c r="Q2" s="2" t="s">
        <v>36</v>
      </c>
      <c r="R2" s="2" t="s">
        <v>37</v>
      </c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 t="s">
        <v>38</v>
      </c>
      <c r="B3" s="2" t="s">
        <v>39</v>
      </c>
      <c r="C3" s="2" t="s">
        <v>28</v>
      </c>
      <c r="D3" s="2" t="s">
        <v>40</v>
      </c>
      <c r="E3" s="2" t="s">
        <v>41</v>
      </c>
      <c r="F3" s="2" t="s">
        <v>30</v>
      </c>
      <c r="G3" s="2" t="s">
        <v>31</v>
      </c>
      <c r="H3" s="2" t="s">
        <v>32</v>
      </c>
      <c r="I3" s="2" t="s">
        <v>32</v>
      </c>
      <c r="J3" s="2" t="s">
        <v>32</v>
      </c>
      <c r="K3" s="2" t="s">
        <v>32</v>
      </c>
      <c r="L3" s="2" t="s">
        <v>34</v>
      </c>
      <c r="M3" s="2" t="s">
        <v>32</v>
      </c>
      <c r="N3" s="2" t="s">
        <v>32</v>
      </c>
      <c r="O3" s="2" t="s">
        <v>35</v>
      </c>
      <c r="P3" s="3" t="n">
        <f aca="false">IF(8-COUNTIF(H3:O3,"N/A")=0,"",COUNTIF(H3:O3,"Completed")/(8-COUNTIF(H3:O3,"N/A")))</f>
        <v>0.75</v>
      </c>
      <c r="Q3" s="2" t="s">
        <v>36</v>
      </c>
      <c r="R3" s="2" t="s">
        <v>37</v>
      </c>
      <c r="S3" s="2"/>
      <c r="T3" s="2"/>
      <c r="U3" s="2"/>
      <c r="V3" s="2"/>
      <c r="W3" s="2"/>
      <c r="X3" s="2"/>
      <c r="Y3" s="2"/>
      <c r="Z3" s="2"/>
    </row>
    <row r="4" customFormat="false" ht="23.85" hidden="false" customHeight="false" outlineLevel="0" collapsed="false">
      <c r="A4" s="2" t="s">
        <v>42</v>
      </c>
      <c r="B4" s="2" t="s">
        <v>43</v>
      </c>
      <c r="C4" s="2" t="s">
        <v>28</v>
      </c>
      <c r="D4" s="2" t="s">
        <v>44</v>
      </c>
      <c r="E4" s="2" t="s">
        <v>45</v>
      </c>
      <c r="F4" s="2" t="s">
        <v>30</v>
      </c>
      <c r="G4" s="2" t="s">
        <v>31</v>
      </c>
      <c r="H4" s="2" t="s">
        <v>32</v>
      </c>
      <c r="I4" s="2" t="s">
        <v>32</v>
      </c>
      <c r="J4" s="2" t="s">
        <v>34</v>
      </c>
      <c r="K4" s="2" t="s">
        <v>32</v>
      </c>
      <c r="L4" s="2" t="s">
        <v>32</v>
      </c>
      <c r="M4" s="2" t="s">
        <v>32</v>
      </c>
      <c r="N4" s="2" t="s">
        <v>32</v>
      </c>
      <c r="O4" s="2" t="s">
        <v>35</v>
      </c>
      <c r="P4" s="3" t="n">
        <f aca="false">IF(8-COUNTIF(H4:O4,"N/A")=0,"",COUNTIF(H4:O4,"Completed")/(8-COUNTIF(H4:O4,"N/A")))</f>
        <v>0.75</v>
      </c>
      <c r="Q4" s="2" t="s">
        <v>36</v>
      </c>
      <c r="R4" s="2" t="s">
        <v>37</v>
      </c>
      <c r="S4" s="2"/>
      <c r="T4" s="2"/>
      <c r="U4" s="2"/>
      <c r="V4" s="2"/>
      <c r="W4" s="2"/>
      <c r="X4" s="2"/>
      <c r="Y4" s="2"/>
      <c r="Z4" s="2"/>
    </row>
    <row r="5" customFormat="false" ht="23.85" hidden="false" customHeight="false" outlineLevel="0" collapsed="false">
      <c r="A5" s="2" t="s">
        <v>46</v>
      </c>
      <c r="B5" s="2" t="s">
        <v>47</v>
      </c>
      <c r="C5" s="2" t="s">
        <v>48</v>
      </c>
      <c r="D5" s="2" t="s">
        <v>49</v>
      </c>
      <c r="E5" s="2" t="s">
        <v>50</v>
      </c>
      <c r="F5" s="2" t="s">
        <v>51</v>
      </c>
      <c r="G5" s="2" t="s">
        <v>31</v>
      </c>
      <c r="H5" s="2" t="s">
        <v>32</v>
      </c>
      <c r="I5" s="2" t="s">
        <v>32</v>
      </c>
      <c r="J5" s="2" t="s">
        <v>32</v>
      </c>
      <c r="K5" s="2" t="s">
        <v>32</v>
      </c>
      <c r="L5" s="2" t="s">
        <v>32</v>
      </c>
      <c r="M5" s="2" t="s">
        <v>35</v>
      </c>
      <c r="N5" s="2" t="s">
        <v>35</v>
      </c>
      <c r="O5" s="2" t="s">
        <v>35</v>
      </c>
      <c r="P5" s="3" t="n">
        <f aca="false">IF(8-COUNTIF(H5:O5,"N/A")=0,"",COUNTIF(H5:O5,"Completed")/(8-COUNTIF(H5:O5,"N/A")))</f>
        <v>0.625</v>
      </c>
      <c r="Q5" s="2" t="s">
        <v>36</v>
      </c>
      <c r="R5" s="2" t="s">
        <v>37</v>
      </c>
      <c r="S5" s="2"/>
      <c r="T5" s="2"/>
      <c r="U5" s="2"/>
      <c r="V5" s="2"/>
      <c r="W5" s="2"/>
      <c r="X5" s="2"/>
      <c r="Y5" s="2"/>
      <c r="Z5" s="2"/>
    </row>
    <row r="6" customFormat="false" ht="23.85" hidden="false" customHeight="false" outlineLevel="0" collapsed="false">
      <c r="A6" s="2" t="s">
        <v>52</v>
      </c>
      <c r="B6" s="2" t="s">
        <v>47</v>
      </c>
      <c r="C6" s="2" t="s">
        <v>53</v>
      </c>
      <c r="D6" s="2" t="s">
        <v>49</v>
      </c>
      <c r="E6" s="2" t="s">
        <v>54</v>
      </c>
      <c r="F6" s="2" t="s">
        <v>51</v>
      </c>
      <c r="G6" s="2" t="s">
        <v>31</v>
      </c>
      <c r="H6" s="2" t="s">
        <v>32</v>
      </c>
      <c r="I6" s="2" t="s">
        <v>32</v>
      </c>
      <c r="J6" s="2" t="s">
        <v>32</v>
      </c>
      <c r="K6" s="2" t="s">
        <v>32</v>
      </c>
      <c r="L6" s="2" t="s">
        <v>32</v>
      </c>
      <c r="M6" s="2" t="s">
        <v>35</v>
      </c>
      <c r="N6" s="2" t="s">
        <v>35</v>
      </c>
      <c r="O6" s="2" t="s">
        <v>35</v>
      </c>
      <c r="P6" s="3" t="n">
        <f aca="false">IF(8-COUNTIF(H6:O6,"N/A")=0,"",COUNTIF(H6:O6,"Completed")/(8-COUNTIF(H6:O6,"N/A")))</f>
        <v>0.625</v>
      </c>
      <c r="Q6" s="2" t="s">
        <v>36</v>
      </c>
      <c r="R6" s="2" t="s">
        <v>37</v>
      </c>
      <c r="S6" s="2"/>
      <c r="T6" s="2"/>
      <c r="U6" s="2"/>
      <c r="V6" s="2"/>
      <c r="W6" s="2"/>
      <c r="X6" s="2"/>
      <c r="Y6" s="2"/>
      <c r="Z6" s="2"/>
    </row>
    <row r="7" customFormat="false" ht="23.85" hidden="false" customHeight="false" outlineLevel="0" collapsed="false">
      <c r="A7" s="2" t="s">
        <v>55</v>
      </c>
      <c r="B7" s="2" t="s">
        <v>47</v>
      </c>
      <c r="C7" s="2" t="s">
        <v>56</v>
      </c>
      <c r="D7" s="2" t="s">
        <v>57</v>
      </c>
      <c r="E7" s="2" t="s">
        <v>58</v>
      </c>
      <c r="F7" s="2" t="s">
        <v>51</v>
      </c>
      <c r="G7" s="2" t="s">
        <v>31</v>
      </c>
      <c r="H7" s="2" t="s">
        <v>32</v>
      </c>
      <c r="I7" s="2" t="s">
        <v>32</v>
      </c>
      <c r="J7" s="2" t="s">
        <v>32</v>
      </c>
      <c r="K7" s="2" t="s">
        <v>32</v>
      </c>
      <c r="L7" s="2" t="s">
        <v>35</v>
      </c>
      <c r="M7" s="2" t="s">
        <v>35</v>
      </c>
      <c r="N7" s="2" t="s">
        <v>35</v>
      </c>
      <c r="O7" s="2" t="s">
        <v>35</v>
      </c>
      <c r="P7" s="3" t="n">
        <f aca="false">IF(8-COUNTIF(H7:O7,"N/A")=0,"",COUNTIF(H7:O7,"Completed")/(8-COUNTIF(H7:O7,"N/A")))</f>
        <v>0.5</v>
      </c>
      <c r="Q7" s="2" t="s">
        <v>36</v>
      </c>
      <c r="R7" s="2" t="s">
        <v>37</v>
      </c>
      <c r="S7" s="2"/>
      <c r="T7" s="2"/>
      <c r="U7" s="2"/>
      <c r="V7" s="2"/>
      <c r="W7" s="2"/>
      <c r="X7" s="2"/>
      <c r="Y7" s="2"/>
      <c r="Z7" s="2"/>
    </row>
    <row r="8" customFormat="false" ht="23.85" hidden="false" customHeight="false" outlineLevel="0" collapsed="false">
      <c r="A8" s="2" t="s">
        <v>59</v>
      </c>
      <c r="B8" s="2" t="s">
        <v>47</v>
      </c>
      <c r="C8" s="2" t="s">
        <v>60</v>
      </c>
      <c r="D8" s="2" t="s">
        <v>57</v>
      </c>
      <c r="E8" s="2" t="s">
        <v>61</v>
      </c>
      <c r="F8" s="2" t="s">
        <v>51</v>
      </c>
      <c r="G8" s="2" t="s">
        <v>31</v>
      </c>
      <c r="H8" s="2" t="s">
        <v>32</v>
      </c>
      <c r="I8" s="2" t="s">
        <v>32</v>
      </c>
      <c r="J8" s="2" t="s">
        <v>32</v>
      </c>
      <c r="K8" s="2" t="s">
        <v>32</v>
      </c>
      <c r="L8" s="2" t="s">
        <v>35</v>
      </c>
      <c r="M8" s="2" t="s">
        <v>35</v>
      </c>
      <c r="N8" s="2" t="s">
        <v>35</v>
      </c>
      <c r="O8" s="2" t="s">
        <v>35</v>
      </c>
      <c r="P8" s="3" t="n">
        <f aca="false">IF(8-COUNTIF(H8:O8,"N/A")=0,"",COUNTIF(H8:O8,"Completed")/(8-COUNTIF(H8:O8,"N/A")))</f>
        <v>0.5</v>
      </c>
      <c r="Q8" s="2" t="s">
        <v>36</v>
      </c>
      <c r="R8" s="2" t="s">
        <v>37</v>
      </c>
      <c r="S8" s="2"/>
      <c r="T8" s="2"/>
      <c r="U8" s="2"/>
      <c r="V8" s="2"/>
      <c r="W8" s="2"/>
      <c r="X8" s="2"/>
      <c r="Y8" s="2"/>
      <c r="Z8" s="2"/>
    </row>
    <row r="9" customFormat="false" ht="23.85" hidden="false" customHeight="false" outlineLevel="0" collapsed="false">
      <c r="A9" s="2" t="s">
        <v>62</v>
      </c>
      <c r="B9" s="2" t="s">
        <v>47</v>
      </c>
      <c r="C9" s="2" t="s">
        <v>63</v>
      </c>
      <c r="D9" s="2" t="s">
        <v>64</v>
      </c>
      <c r="E9" s="2" t="s">
        <v>65</v>
      </c>
      <c r="F9" s="2" t="s">
        <v>51</v>
      </c>
      <c r="G9" s="2" t="s">
        <v>31</v>
      </c>
      <c r="H9" s="2" t="s">
        <v>32</v>
      </c>
      <c r="I9" s="2" t="s">
        <v>66</v>
      </c>
      <c r="J9" s="2" t="s">
        <v>32</v>
      </c>
      <c r="K9" s="2" t="s">
        <v>35</v>
      </c>
      <c r="L9" s="2" t="s">
        <v>35</v>
      </c>
      <c r="M9" s="2" t="s">
        <v>35</v>
      </c>
      <c r="N9" s="2" t="s">
        <v>35</v>
      </c>
      <c r="O9" s="2" t="s">
        <v>35</v>
      </c>
      <c r="P9" s="3" t="n">
        <f aca="false">IF(8-COUNTIF(H9:O9,"N/A")=0,"",COUNTIF(H9:O9,"Completed")/(8-COUNTIF(H9:O9,"N/A")))</f>
        <v>0.25</v>
      </c>
      <c r="Q9" s="2" t="s">
        <v>36</v>
      </c>
      <c r="R9" s="2" t="s">
        <v>37</v>
      </c>
      <c r="S9" s="2"/>
      <c r="T9" s="2"/>
      <c r="U9" s="2"/>
      <c r="V9" s="2"/>
      <c r="W9" s="2"/>
      <c r="X9" s="2"/>
      <c r="Y9" s="2"/>
      <c r="Z9" s="2"/>
    </row>
    <row r="10" customFormat="false" ht="23.85" hidden="false" customHeight="false" outlineLevel="0" collapsed="false">
      <c r="A10" s="2" t="s">
        <v>67</v>
      </c>
      <c r="B10" s="2" t="s">
        <v>47</v>
      </c>
      <c r="C10" s="2" t="s">
        <v>68</v>
      </c>
      <c r="D10" s="2" t="s">
        <v>64</v>
      </c>
      <c r="E10" s="2" t="s">
        <v>69</v>
      </c>
      <c r="F10" s="2" t="s">
        <v>51</v>
      </c>
      <c r="G10" s="2" t="s">
        <v>31</v>
      </c>
      <c r="H10" s="2" t="s">
        <v>32</v>
      </c>
      <c r="I10" s="2" t="s">
        <v>66</v>
      </c>
      <c r="J10" s="2" t="s">
        <v>32</v>
      </c>
      <c r="K10" s="2" t="s">
        <v>35</v>
      </c>
      <c r="L10" s="2" t="s">
        <v>35</v>
      </c>
      <c r="M10" s="2" t="s">
        <v>35</v>
      </c>
      <c r="N10" s="2" t="s">
        <v>35</v>
      </c>
      <c r="O10" s="2" t="s">
        <v>35</v>
      </c>
      <c r="P10" s="3" t="n">
        <f aca="false">IF(8-COUNTIF(H10:O10,"N/A")=0,"",COUNTIF(H10:O10,"Completed")/(8-COUNTIF(H10:O10,"N/A")))</f>
        <v>0.25</v>
      </c>
      <c r="Q10" s="2" t="s">
        <v>36</v>
      </c>
      <c r="R10" s="2" t="s">
        <v>37</v>
      </c>
      <c r="S10" s="2"/>
      <c r="T10" s="2"/>
      <c r="U10" s="2"/>
      <c r="V10" s="2"/>
      <c r="W10" s="2"/>
      <c r="X10" s="2"/>
      <c r="Y10" s="2"/>
      <c r="Z10" s="2"/>
    </row>
    <row r="11" customFormat="false" ht="23.85" hidden="false" customHeight="false" outlineLevel="0" collapsed="false">
      <c r="A11" s="2" t="s">
        <v>70</v>
      </c>
      <c r="B11" s="2" t="s">
        <v>47</v>
      </c>
      <c r="C11" s="2" t="s">
        <v>71</v>
      </c>
      <c r="D11" s="2" t="s">
        <v>72</v>
      </c>
      <c r="E11" s="2" t="s">
        <v>73</v>
      </c>
      <c r="F11" s="2" t="s">
        <v>51</v>
      </c>
      <c r="G11" s="2" t="s">
        <v>31</v>
      </c>
      <c r="H11" s="2" t="s">
        <v>32</v>
      </c>
      <c r="I11" s="2" t="s">
        <v>66</v>
      </c>
      <c r="J11" s="2" t="s">
        <v>32</v>
      </c>
      <c r="K11" s="2" t="s">
        <v>35</v>
      </c>
      <c r="L11" s="2" t="s">
        <v>35</v>
      </c>
      <c r="M11" s="2" t="s">
        <v>35</v>
      </c>
      <c r="N11" s="2" t="s">
        <v>35</v>
      </c>
      <c r="O11" s="2" t="s">
        <v>35</v>
      </c>
      <c r="P11" s="3" t="n">
        <f aca="false">IF(8-COUNTIF(H11:O11,"N/A")=0,"",COUNTIF(H11:O11,"Completed")/(8-COUNTIF(H11:O11,"N/A")))</f>
        <v>0.25</v>
      </c>
      <c r="Q11" s="2" t="s">
        <v>36</v>
      </c>
      <c r="R11" s="2" t="s">
        <v>37</v>
      </c>
      <c r="S11" s="2"/>
      <c r="T11" s="2"/>
      <c r="U11" s="2"/>
      <c r="V11" s="2"/>
      <c r="W11" s="2"/>
      <c r="X11" s="2"/>
      <c r="Y11" s="2"/>
      <c r="Z11" s="2"/>
    </row>
    <row r="12" customFormat="false" ht="23.85" hidden="false" customHeight="false" outlineLevel="0" collapsed="false">
      <c r="A12" s="2" t="s">
        <v>74</v>
      </c>
      <c r="B12" s="2" t="s">
        <v>47</v>
      </c>
      <c r="C12" s="2" t="s">
        <v>75</v>
      </c>
      <c r="D12" s="2" t="s">
        <v>72</v>
      </c>
      <c r="E12" s="2" t="s">
        <v>76</v>
      </c>
      <c r="F12" s="2" t="s">
        <v>51</v>
      </c>
      <c r="G12" s="2" t="s">
        <v>31</v>
      </c>
      <c r="H12" s="2" t="s">
        <v>32</v>
      </c>
      <c r="I12" s="2" t="s">
        <v>66</v>
      </c>
      <c r="J12" s="2" t="s">
        <v>32</v>
      </c>
      <c r="K12" s="2" t="s">
        <v>35</v>
      </c>
      <c r="L12" s="2" t="s">
        <v>35</v>
      </c>
      <c r="M12" s="2" t="s">
        <v>35</v>
      </c>
      <c r="N12" s="2" t="s">
        <v>35</v>
      </c>
      <c r="O12" s="2" t="s">
        <v>35</v>
      </c>
      <c r="P12" s="3" t="n">
        <f aca="false">IF(8-COUNTIF(H12:O12,"N/A")=0,"",COUNTIF(H12:O12,"Completed")/(8-COUNTIF(H12:O12,"N/A")))</f>
        <v>0.25</v>
      </c>
      <c r="Q12" s="2" t="s">
        <v>36</v>
      </c>
      <c r="R12" s="2" t="s">
        <v>37</v>
      </c>
      <c r="S12" s="2"/>
      <c r="T12" s="2"/>
      <c r="U12" s="2"/>
      <c r="V12" s="2"/>
      <c r="W12" s="2"/>
      <c r="X12" s="2"/>
      <c r="Y12" s="2"/>
      <c r="Z12" s="2"/>
    </row>
    <row r="13" customFormat="false" ht="23.85" hidden="false" customHeight="false" outlineLevel="0" collapsed="false">
      <c r="A13" s="2" t="s">
        <v>77</v>
      </c>
      <c r="B13" s="2" t="s">
        <v>47</v>
      </c>
      <c r="C13" s="2" t="s">
        <v>78</v>
      </c>
      <c r="D13" s="2" t="s">
        <v>79</v>
      </c>
      <c r="E13" s="2" t="s">
        <v>80</v>
      </c>
      <c r="F13" s="2" t="s">
        <v>51</v>
      </c>
      <c r="G13" s="2" t="s">
        <v>31</v>
      </c>
      <c r="H13" s="2" t="s">
        <v>32</v>
      </c>
      <c r="I13" s="2" t="s">
        <v>66</v>
      </c>
      <c r="J13" s="2" t="s">
        <v>32</v>
      </c>
      <c r="K13" s="2" t="s">
        <v>35</v>
      </c>
      <c r="L13" s="2" t="s">
        <v>35</v>
      </c>
      <c r="M13" s="2" t="s">
        <v>35</v>
      </c>
      <c r="N13" s="2" t="s">
        <v>35</v>
      </c>
      <c r="O13" s="2" t="s">
        <v>35</v>
      </c>
      <c r="P13" s="3" t="n">
        <f aca="false">IF(8-COUNTIF(H13:O13,"N/A")=0,"",COUNTIF(H13:O13,"Completed")/(8-COUNTIF(H13:O13,"N/A")))</f>
        <v>0.25</v>
      </c>
      <c r="Q13" s="2" t="s">
        <v>36</v>
      </c>
      <c r="R13" s="2" t="s">
        <v>37</v>
      </c>
      <c r="S13" s="2"/>
      <c r="T13" s="2"/>
      <c r="U13" s="2"/>
      <c r="V13" s="2"/>
      <c r="W13" s="2"/>
      <c r="X13" s="2"/>
      <c r="Y13" s="2"/>
      <c r="Z13" s="2"/>
    </row>
    <row r="14" customFormat="false" ht="15" hidden="false" customHeight="false" outlineLevel="0" collapsed="false">
      <c r="A14" s="2" t="s">
        <v>81</v>
      </c>
      <c r="B14" s="2" t="s">
        <v>82</v>
      </c>
      <c r="C14" s="2" t="s">
        <v>83</v>
      </c>
      <c r="D14" s="2" t="s">
        <v>84</v>
      </c>
      <c r="E14" s="2" t="s">
        <v>83</v>
      </c>
      <c r="F14" s="2" t="s">
        <v>85</v>
      </c>
      <c r="G14" s="2" t="s">
        <v>31</v>
      </c>
      <c r="H14" s="2" t="s">
        <v>32</v>
      </c>
      <c r="I14" s="2" t="s">
        <v>32</v>
      </c>
      <c r="J14" s="2" t="s">
        <v>32</v>
      </c>
      <c r="K14" s="2" t="s">
        <v>32</v>
      </c>
      <c r="L14" s="2" t="s">
        <v>32</v>
      </c>
      <c r="M14" s="2" t="s">
        <v>32</v>
      </c>
      <c r="N14" s="2" t="s">
        <v>32</v>
      </c>
      <c r="O14" s="2" t="s">
        <v>34</v>
      </c>
      <c r="P14" s="3" t="n">
        <f aca="false">IF(8-COUNTIF(H14:O14,"N/A")=0,"",COUNTIF(H14:O14,"Completed")/(8-COUNTIF(H14:O14,"N/A")))</f>
        <v>0.875</v>
      </c>
      <c r="Q14" s="2" t="s">
        <v>36</v>
      </c>
      <c r="R14" s="2" t="s">
        <v>37</v>
      </c>
      <c r="S14" s="2"/>
      <c r="T14" s="2"/>
      <c r="U14" s="2"/>
      <c r="V14" s="2"/>
      <c r="W14" s="2"/>
      <c r="X14" s="2"/>
      <c r="Y14" s="2"/>
      <c r="Z14" s="2"/>
    </row>
    <row r="15" customFormat="false" ht="15" hidden="false" customHeight="false" outlineLevel="0" collapsed="false">
      <c r="A15" s="2" t="s">
        <v>86</v>
      </c>
      <c r="B15" s="2" t="s">
        <v>82</v>
      </c>
      <c r="C15" s="2" t="s">
        <v>87</v>
      </c>
      <c r="D15" s="2" t="s">
        <v>84</v>
      </c>
      <c r="E15" s="2" t="s">
        <v>87</v>
      </c>
      <c r="F15" s="2" t="s">
        <v>85</v>
      </c>
      <c r="G15" s="2" t="s">
        <v>31</v>
      </c>
      <c r="H15" s="2" t="s">
        <v>32</v>
      </c>
      <c r="I15" s="2" t="s">
        <v>32</v>
      </c>
      <c r="J15" s="2" t="s">
        <v>32</v>
      </c>
      <c r="K15" s="2" t="s">
        <v>32</v>
      </c>
      <c r="L15" s="2" t="s">
        <v>32</v>
      </c>
      <c r="M15" s="2" t="s">
        <v>32</v>
      </c>
      <c r="N15" s="2" t="s">
        <v>32</v>
      </c>
      <c r="O15" s="2" t="s">
        <v>34</v>
      </c>
      <c r="P15" s="3" t="n">
        <f aca="false">IF(8-COUNTIF(H15:O15,"N/A")=0,"",COUNTIF(H15:O15,"Completed")/(8-COUNTIF(H15:O15,"N/A")))</f>
        <v>0.875</v>
      </c>
      <c r="Q15" s="2" t="s">
        <v>36</v>
      </c>
      <c r="R15" s="2" t="s">
        <v>37</v>
      </c>
      <c r="S15" s="2"/>
      <c r="T15" s="2"/>
      <c r="U15" s="2"/>
      <c r="V15" s="2"/>
      <c r="W15" s="2"/>
      <c r="X15" s="2"/>
      <c r="Y15" s="2"/>
      <c r="Z15" s="2"/>
    </row>
    <row r="16" customFormat="false" ht="23.85" hidden="false" customHeight="false" outlineLevel="0" collapsed="false">
      <c r="A16" s="2" t="s">
        <v>88</v>
      </c>
      <c r="B16" s="2" t="s">
        <v>89</v>
      </c>
      <c r="C16" s="2" t="s">
        <v>28</v>
      </c>
      <c r="D16" s="2" t="s">
        <v>44</v>
      </c>
      <c r="E16" s="2" t="s">
        <v>90</v>
      </c>
      <c r="F16" s="2" t="s">
        <v>91</v>
      </c>
      <c r="G16" s="2" t="s">
        <v>31</v>
      </c>
      <c r="H16" s="2" t="s">
        <v>32</v>
      </c>
      <c r="I16" s="2" t="s">
        <v>34</v>
      </c>
      <c r="J16" s="2" t="s">
        <v>34</v>
      </c>
      <c r="K16" s="2" t="s">
        <v>32</v>
      </c>
      <c r="L16" s="2" t="s">
        <v>32</v>
      </c>
      <c r="M16" s="2" t="s">
        <v>32</v>
      </c>
      <c r="N16" s="2" t="s">
        <v>32</v>
      </c>
      <c r="O16" s="2" t="s">
        <v>35</v>
      </c>
      <c r="P16" s="3" t="n">
        <f aca="false">IF(8-COUNTIF(H16:O16,"N/A")=0,"",COUNTIF(H16:O16,"Completed")/(8-COUNTIF(H16:O16,"N/A")))</f>
        <v>0.625</v>
      </c>
      <c r="Q16" s="2" t="s">
        <v>36</v>
      </c>
      <c r="R16" s="2" t="s">
        <v>37</v>
      </c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false" outlineLevel="0" collapsed="false">
      <c r="A17" s="2" t="s">
        <v>92</v>
      </c>
      <c r="B17" s="2" t="s">
        <v>93</v>
      </c>
      <c r="C17" s="2" t="s">
        <v>94</v>
      </c>
      <c r="D17" s="2" t="s">
        <v>95</v>
      </c>
      <c r="E17" s="2" t="s">
        <v>96</v>
      </c>
      <c r="F17" s="2" t="s">
        <v>85</v>
      </c>
      <c r="G17" s="2" t="s">
        <v>31</v>
      </c>
      <c r="H17" s="2" t="s">
        <v>32</v>
      </c>
      <c r="I17" s="2" t="s">
        <v>32</v>
      </c>
      <c r="J17" s="2" t="s">
        <v>34</v>
      </c>
      <c r="K17" s="2" t="s">
        <v>32</v>
      </c>
      <c r="L17" s="2" t="s">
        <v>32</v>
      </c>
      <c r="M17" s="2" t="s">
        <v>32</v>
      </c>
      <c r="N17" s="2" t="s">
        <v>32</v>
      </c>
      <c r="O17" s="2" t="s">
        <v>35</v>
      </c>
      <c r="P17" s="3" t="n">
        <f aca="false">IF(8-COUNTIF(H17:O17,"N/A")=0,"",COUNTIF(H17:O17,"Completed")/(8-COUNTIF(H17:O17,"N/A")))</f>
        <v>0.75</v>
      </c>
      <c r="Q17" s="2" t="s">
        <v>36</v>
      </c>
      <c r="R17" s="2" t="s">
        <v>37</v>
      </c>
      <c r="S17" s="2"/>
      <c r="T17" s="2"/>
      <c r="U17" s="2"/>
      <c r="V17" s="2"/>
      <c r="W17" s="2"/>
      <c r="X17" s="2"/>
      <c r="Y17" s="2"/>
      <c r="Z17" s="2"/>
    </row>
    <row r="18" customFormat="false" ht="23.85" hidden="false" customHeight="false" outlineLevel="0" collapsed="false">
      <c r="A18" s="2" t="s">
        <v>97</v>
      </c>
      <c r="B18" s="2" t="s">
        <v>93</v>
      </c>
      <c r="C18" s="2" t="s">
        <v>98</v>
      </c>
      <c r="D18" s="2" t="s">
        <v>95</v>
      </c>
      <c r="E18" s="2" t="s">
        <v>99</v>
      </c>
      <c r="F18" s="2" t="s">
        <v>85</v>
      </c>
      <c r="G18" s="2" t="s">
        <v>31</v>
      </c>
      <c r="H18" s="2" t="s">
        <v>32</v>
      </c>
      <c r="I18" s="2" t="s">
        <v>32</v>
      </c>
      <c r="J18" s="2" t="s">
        <v>34</v>
      </c>
      <c r="K18" s="2" t="s">
        <v>32</v>
      </c>
      <c r="L18" s="2" t="s">
        <v>32</v>
      </c>
      <c r="M18" s="2" t="s">
        <v>32</v>
      </c>
      <c r="N18" s="2" t="s">
        <v>32</v>
      </c>
      <c r="O18" s="2" t="s">
        <v>35</v>
      </c>
      <c r="P18" s="3" t="n">
        <f aca="false">IF(8-COUNTIF(H18:O18,"N/A")=0,"",COUNTIF(H18:O18,"Completed")/(8-COUNTIF(H18:O18,"N/A")))</f>
        <v>0.75</v>
      </c>
      <c r="Q18" s="2" t="s">
        <v>36</v>
      </c>
      <c r="R18" s="2" t="s">
        <v>37</v>
      </c>
      <c r="S18" s="2"/>
      <c r="T18" s="2"/>
      <c r="U18" s="2"/>
      <c r="V18" s="2"/>
      <c r="W18" s="2"/>
      <c r="X18" s="2"/>
      <c r="Y18" s="2"/>
      <c r="Z18" s="2"/>
    </row>
    <row r="19" customFormat="false" ht="15" hidden="false" customHeight="false" outlineLevel="0" collapsed="false">
      <c r="A19" s="2" t="s">
        <v>100</v>
      </c>
      <c r="B19" s="2" t="s">
        <v>93</v>
      </c>
      <c r="C19" s="2" t="s">
        <v>101</v>
      </c>
      <c r="D19" s="2" t="s">
        <v>95</v>
      </c>
      <c r="E19" s="2" t="s">
        <v>102</v>
      </c>
      <c r="F19" s="2" t="s">
        <v>85</v>
      </c>
      <c r="G19" s="2" t="s">
        <v>31</v>
      </c>
      <c r="H19" s="2" t="s">
        <v>32</v>
      </c>
      <c r="I19" s="2" t="s">
        <v>32</v>
      </c>
      <c r="J19" s="2" t="s">
        <v>34</v>
      </c>
      <c r="K19" s="2" t="s">
        <v>32</v>
      </c>
      <c r="L19" s="2" t="s">
        <v>32</v>
      </c>
      <c r="M19" s="2" t="s">
        <v>32</v>
      </c>
      <c r="N19" s="2" t="s">
        <v>32</v>
      </c>
      <c r="O19" s="2" t="s">
        <v>35</v>
      </c>
      <c r="P19" s="3" t="n">
        <f aca="false">IF(8-COUNTIF(H19:O19,"N/A")=0,"",COUNTIF(H19:O19,"Completed")/(8-COUNTIF(H19:O19,"N/A")))</f>
        <v>0.75</v>
      </c>
      <c r="Q19" s="2" t="s">
        <v>36</v>
      </c>
      <c r="R19" s="2" t="s">
        <v>37</v>
      </c>
      <c r="S19" s="2"/>
      <c r="T19" s="2"/>
      <c r="U19" s="2"/>
      <c r="V19" s="2"/>
      <c r="W19" s="2"/>
      <c r="X19" s="2"/>
      <c r="Y19" s="2"/>
      <c r="Z19" s="2"/>
    </row>
    <row r="20" customFormat="false" ht="23.85" hidden="false" customHeight="false" outlineLevel="0" collapsed="false">
      <c r="A20" s="2" t="s">
        <v>103</v>
      </c>
      <c r="B20" s="2" t="s">
        <v>104</v>
      </c>
      <c r="C20" s="2" t="s">
        <v>28</v>
      </c>
      <c r="D20" s="2" t="s">
        <v>105</v>
      </c>
      <c r="E20" s="2" t="s">
        <v>106</v>
      </c>
      <c r="F20" s="2" t="s">
        <v>85</v>
      </c>
      <c r="G20" s="2" t="s">
        <v>31</v>
      </c>
      <c r="H20" s="2" t="s">
        <v>32</v>
      </c>
      <c r="I20" s="2" t="s">
        <v>32</v>
      </c>
      <c r="J20" s="2" t="s">
        <v>32</v>
      </c>
      <c r="K20" s="2" t="s">
        <v>32</v>
      </c>
      <c r="L20" s="2" t="s">
        <v>32</v>
      </c>
      <c r="M20" s="2" t="s">
        <v>32</v>
      </c>
      <c r="N20" s="2" t="s">
        <v>32</v>
      </c>
      <c r="O20" s="2" t="s">
        <v>35</v>
      </c>
      <c r="P20" s="3" t="n">
        <f aca="false">IF(8-COUNTIF(H20:O20,"N/A")=0,"",COUNTIF(H20:O20,"Completed")/(8-COUNTIF(H20:O20,"N/A")))</f>
        <v>0.875</v>
      </c>
      <c r="Q20" s="2" t="s">
        <v>36</v>
      </c>
      <c r="R20" s="2" t="s">
        <v>37</v>
      </c>
      <c r="S20" s="2"/>
      <c r="T20" s="2"/>
      <c r="U20" s="2"/>
      <c r="V20" s="2"/>
      <c r="W20" s="2"/>
      <c r="X20" s="2"/>
      <c r="Y20" s="2"/>
      <c r="Z20" s="2"/>
    </row>
    <row r="21" customFormat="false" ht="15" hidden="false" customHeight="false" outlineLevel="0" collapsed="false">
      <c r="A21" s="2" t="s">
        <v>107</v>
      </c>
      <c r="B21" s="2" t="s">
        <v>108</v>
      </c>
      <c r="C21" s="2" t="s">
        <v>28</v>
      </c>
      <c r="D21" s="2" t="s">
        <v>109</v>
      </c>
      <c r="E21" s="2" t="s">
        <v>109</v>
      </c>
      <c r="F21" s="2" t="s">
        <v>108</v>
      </c>
      <c r="G21" s="2" t="s">
        <v>31</v>
      </c>
      <c r="H21" s="2" t="s">
        <v>34</v>
      </c>
      <c r="I21" s="2" t="s">
        <v>35</v>
      </c>
      <c r="J21" s="2" t="s">
        <v>35</v>
      </c>
      <c r="K21" s="2" t="s">
        <v>35</v>
      </c>
      <c r="L21" s="2" t="s">
        <v>35</v>
      </c>
      <c r="M21" s="2" t="s">
        <v>35</v>
      </c>
      <c r="N21" s="2" t="s">
        <v>35</v>
      </c>
      <c r="O21" s="2" t="s">
        <v>35</v>
      </c>
      <c r="P21" s="3" t="n">
        <f aca="false">IF(8-COUNTIF(H21:O21,"N/A")=0,"",COUNTIF(H21:O21,"Completed")/(8-COUNTIF(H21:O21,"N/A")))</f>
        <v>0</v>
      </c>
      <c r="Q21" s="2" t="s">
        <v>36</v>
      </c>
      <c r="R21" s="2" t="s">
        <v>37</v>
      </c>
      <c r="S21" s="2"/>
      <c r="T21" s="2"/>
      <c r="U21" s="2"/>
      <c r="V21" s="2"/>
      <c r="W21" s="2"/>
      <c r="X21" s="2"/>
      <c r="Y21" s="2"/>
      <c r="Z21" s="2"/>
    </row>
    <row r="22" customFormat="false" ht="23.85" hidden="false" customHeight="false" outlineLevel="0" collapsed="false">
      <c r="A22" s="2" t="s">
        <v>110</v>
      </c>
      <c r="B22" s="2" t="s">
        <v>111</v>
      </c>
      <c r="C22" s="2" t="s">
        <v>112</v>
      </c>
      <c r="D22" s="2" t="s">
        <v>113</v>
      </c>
      <c r="E22" s="2" t="s">
        <v>114</v>
      </c>
      <c r="F22" s="2" t="s">
        <v>115</v>
      </c>
      <c r="G22" s="2" t="s">
        <v>31</v>
      </c>
      <c r="H22" s="2" t="s">
        <v>32</v>
      </c>
      <c r="I22" s="2" t="s">
        <v>34</v>
      </c>
      <c r="J22" s="2" t="s">
        <v>34</v>
      </c>
      <c r="K22" s="2" t="s">
        <v>35</v>
      </c>
      <c r="L22" s="2" t="s">
        <v>35</v>
      </c>
      <c r="M22" s="2" t="s">
        <v>35</v>
      </c>
      <c r="N22" s="2" t="s">
        <v>35</v>
      </c>
      <c r="O22" s="2" t="s">
        <v>35</v>
      </c>
      <c r="P22" s="3" t="n">
        <f aca="false">IF(8-COUNTIF(H22:O22,"N/A")=0,"",COUNTIF(H22:O22,"Completed")/(8-COUNTIF(H22:O22,"N/A")))</f>
        <v>0.125</v>
      </c>
      <c r="Q22" s="2" t="s">
        <v>36</v>
      </c>
      <c r="R22" s="2" t="s">
        <v>37</v>
      </c>
      <c r="S22" s="2"/>
      <c r="T22" s="2"/>
      <c r="U22" s="2"/>
      <c r="V22" s="2"/>
      <c r="W22" s="2"/>
      <c r="X22" s="2"/>
      <c r="Y22" s="2"/>
      <c r="Z22" s="2"/>
    </row>
    <row r="23" customFormat="false" ht="35.05" hidden="false" customHeight="false" outlineLevel="0" collapsed="false">
      <c r="A23" s="2" t="s">
        <v>116</v>
      </c>
      <c r="B23" s="2" t="s">
        <v>111</v>
      </c>
      <c r="C23" s="2" t="s">
        <v>117</v>
      </c>
      <c r="D23" s="2" t="s">
        <v>118</v>
      </c>
      <c r="E23" s="2" t="s">
        <v>119</v>
      </c>
      <c r="F23" s="2" t="s">
        <v>115</v>
      </c>
      <c r="G23" s="2" t="s">
        <v>31</v>
      </c>
      <c r="H23" s="2" t="s">
        <v>32</v>
      </c>
      <c r="I23" s="2" t="s">
        <v>34</v>
      </c>
      <c r="J23" s="2" t="s">
        <v>34</v>
      </c>
      <c r="K23" s="2" t="s">
        <v>35</v>
      </c>
      <c r="L23" s="2" t="s">
        <v>35</v>
      </c>
      <c r="M23" s="2" t="s">
        <v>35</v>
      </c>
      <c r="N23" s="2" t="s">
        <v>35</v>
      </c>
      <c r="O23" s="2" t="s">
        <v>35</v>
      </c>
      <c r="P23" s="3" t="n">
        <f aca="false">IF(8-COUNTIF(H23:O23,"N/A")=0,"",COUNTIF(H23:O23,"Completed")/(8-COUNTIF(H23:O23,"N/A")))</f>
        <v>0.125</v>
      </c>
      <c r="Q23" s="2" t="s">
        <v>36</v>
      </c>
      <c r="R23" s="2" t="s">
        <v>37</v>
      </c>
      <c r="S23" s="2"/>
      <c r="T23" s="2"/>
      <c r="U23" s="2"/>
      <c r="V23" s="2"/>
      <c r="W23" s="2"/>
      <c r="X23" s="2"/>
      <c r="Y23" s="2"/>
      <c r="Z23" s="2"/>
    </row>
  </sheetData>
  <conditionalFormatting sqref="H2:O23">
    <cfRule type="cellIs" priority="2" operator="equal" aboveAverage="0" equalAverage="0" bottom="0" percent="0" rank="0" text="" dxfId="12">
      <formula>"Completed"</formula>
    </cfRule>
    <cfRule type="cellIs" priority="3" operator="equal" aboveAverage="0" equalAverage="0" bottom="0" percent="0" rank="0" text="" dxfId="13">
      <formula>"In Progress"</formula>
    </cfRule>
    <cfRule type="cellIs" priority="4" operator="equal" aboveAverage="0" equalAverage="0" bottom="0" percent="0" rank="0" text="" dxfId="14">
      <formula>"Blocked"</formula>
    </cfRule>
    <cfRule type="cellIs" priority="5" operator="equal" aboveAverage="0" equalAverage="0" bottom="0" percent="0" rank="0" text="" dxfId="15">
      <formula>"Not Started"</formula>
    </cfRule>
    <cfRule type="cellIs" priority="6" operator="equal" aboveAverage="0" equalAverage="0" bottom="0" percent="0" rank="0" text="" dxfId="16">
      <formula>"N/A"</formula>
    </cfRule>
  </conditionalFormatting>
  <dataValidations count="2">
    <dataValidation allowBlank="true" error="Pick a status from the list: Not Started, In Progress, Blocked, Completed, N/A" errorStyle="stop" operator="between" showDropDown="false" showErrorMessage="true" showInputMessage="false" sqref="H2:O23" type="list">
      <formula1>"Not Started,In Progress,Blocked,Completed,N/A"</formula1>
      <formula2>0</formula2>
    </dataValidation>
    <dataValidation allowBlank="true" error="Pick: Active, Paused, Licensed, Not Feasible" errorStyle="stop" operator="between" showDropDown="false" showErrorMessage="true" showInputMessage="false" sqref="G2:G23" type="list">
      <formula1>"Active,Paused,Licensed,Not Feasible"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90"/>
  </cols>
  <sheetData>
    <row r="1" customFormat="false" ht="15" hidden="false" customHeight="false" outlineLevel="0" collapsed="false">
      <c r="A1" s="4" t="s">
        <v>120</v>
      </c>
      <c r="B1" s="4" t="s">
        <v>1</v>
      </c>
      <c r="C1" s="4" t="s">
        <v>2</v>
      </c>
      <c r="D1" s="4" t="s">
        <v>121</v>
      </c>
      <c r="E1" s="4" t="s">
        <v>122</v>
      </c>
    </row>
    <row r="2" customFormat="false" ht="23.85" hidden="false" customHeight="false" outlineLevel="0" collapsed="false">
      <c r="A2" s="2" t="s">
        <v>36</v>
      </c>
      <c r="B2" s="2" t="s">
        <v>37</v>
      </c>
      <c r="C2" s="2" t="s">
        <v>28</v>
      </c>
      <c r="D2" s="2" t="s">
        <v>123</v>
      </c>
      <c r="E2" s="2" t="s">
        <v>124</v>
      </c>
    </row>
    <row r="3" customFormat="false" ht="15" hidden="false" customHeight="false" outlineLevel="0" collapsed="false">
      <c r="A3" s="2" t="s">
        <v>36</v>
      </c>
      <c r="B3" s="2" t="s">
        <v>47</v>
      </c>
      <c r="C3" s="2" t="s">
        <v>125</v>
      </c>
      <c r="D3" s="2" t="s">
        <v>37</v>
      </c>
      <c r="E3" s="2" t="s">
        <v>126</v>
      </c>
    </row>
    <row r="4" customFormat="false" ht="23.85" hidden="false" customHeight="false" outlineLevel="0" collapsed="false">
      <c r="A4" s="2" t="s">
        <v>36</v>
      </c>
      <c r="B4" s="2" t="s">
        <v>43</v>
      </c>
      <c r="C4" s="2" t="s">
        <v>28</v>
      </c>
      <c r="D4" s="2" t="s">
        <v>37</v>
      </c>
      <c r="E4" s="2" t="s">
        <v>127</v>
      </c>
    </row>
    <row r="5" customFormat="false" ht="23.85" hidden="false" customHeight="false" outlineLevel="0" collapsed="false">
      <c r="A5" s="2" t="s">
        <v>36</v>
      </c>
      <c r="B5" s="2" t="s">
        <v>89</v>
      </c>
      <c r="C5" s="2" t="s">
        <v>28</v>
      </c>
      <c r="D5" s="2" t="s">
        <v>37</v>
      </c>
      <c r="E5" s="2" t="s">
        <v>128</v>
      </c>
    </row>
    <row r="6" customFormat="false" ht="15" hidden="false" customHeight="false" outlineLevel="0" collapsed="false">
      <c r="A6" s="2" t="s">
        <v>36</v>
      </c>
      <c r="B6" s="2" t="s">
        <v>93</v>
      </c>
      <c r="C6" s="2" t="s">
        <v>129</v>
      </c>
      <c r="D6" s="2" t="s">
        <v>37</v>
      </c>
      <c r="E6" s="2" t="s">
        <v>130</v>
      </c>
    </row>
    <row r="7" customFormat="false" ht="23.85" hidden="false" customHeight="false" outlineLevel="0" collapsed="false">
      <c r="A7" s="2" t="s">
        <v>36</v>
      </c>
      <c r="B7" s="2" t="s">
        <v>27</v>
      </c>
      <c r="C7" s="2" t="s">
        <v>28</v>
      </c>
      <c r="D7" s="2" t="s">
        <v>37</v>
      </c>
      <c r="E7" s="2" t="s">
        <v>131</v>
      </c>
    </row>
    <row r="8" customFormat="false" ht="15" hidden="false" customHeight="false" outlineLevel="0" collapsed="false">
      <c r="A8" s="2" t="s">
        <v>36</v>
      </c>
      <c r="B8" s="2" t="s">
        <v>39</v>
      </c>
      <c r="C8" s="2" t="s">
        <v>28</v>
      </c>
      <c r="D8" s="2" t="s">
        <v>37</v>
      </c>
      <c r="E8" s="2" t="s">
        <v>131</v>
      </c>
    </row>
    <row r="9" customFormat="false" ht="23.85" hidden="false" customHeight="false" outlineLevel="0" collapsed="false">
      <c r="A9" s="2" t="s">
        <v>36</v>
      </c>
      <c r="B9" s="2" t="s">
        <v>108</v>
      </c>
      <c r="C9" s="2" t="s">
        <v>28</v>
      </c>
      <c r="D9" s="2" t="s">
        <v>37</v>
      </c>
      <c r="E9" s="2" t="s">
        <v>132</v>
      </c>
    </row>
    <row r="10" customFormat="false" ht="23.85" hidden="false" customHeight="false" outlineLevel="0" collapsed="false">
      <c r="A10" s="2" t="s">
        <v>36</v>
      </c>
      <c r="B10" s="2" t="s">
        <v>111</v>
      </c>
      <c r="C10" s="2" t="s">
        <v>133</v>
      </c>
      <c r="D10" s="2" t="s">
        <v>37</v>
      </c>
      <c r="E10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5" t="s">
        <v>135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7" t="s">
        <v>136</v>
      </c>
    </row>
    <row r="4" customFormat="false" ht="15" hidden="false" customHeight="false" outlineLevel="0" collapsed="false">
      <c r="A4" s="6" t="s">
        <v>137</v>
      </c>
    </row>
    <row r="5" customFormat="false" ht="15" hidden="false" customHeight="false" outlineLevel="0" collapsed="false">
      <c r="A5" s="6" t="s">
        <v>138</v>
      </c>
    </row>
    <row r="6" customFormat="false" ht="15" hidden="false" customHeight="false" outlineLevel="0" collapsed="false">
      <c r="A6" s="6" t="s">
        <v>139</v>
      </c>
    </row>
    <row r="7" customFormat="false" ht="15" hidden="false" customHeight="false" outlineLevel="0" collapsed="false">
      <c r="A7" s="6" t="s">
        <v>140</v>
      </c>
    </row>
    <row r="8" customFormat="false" ht="15" hidden="false" customHeight="false" outlineLevel="0" collapsed="false">
      <c r="A8" s="6" t="s">
        <v>141</v>
      </c>
    </row>
    <row r="9" customFormat="false" ht="15" hidden="false" customHeight="false" outlineLevel="0" collapsed="false">
      <c r="A9" s="6" t="s">
        <v>142</v>
      </c>
    </row>
    <row r="10" customFormat="false" ht="15" hidden="false" customHeight="false" outlineLevel="0" collapsed="false">
      <c r="A10" s="7" t="s">
        <v>143</v>
      </c>
    </row>
    <row r="11" customFormat="false" ht="15" hidden="false" customHeight="false" outlineLevel="0" collapsed="false">
      <c r="A11" s="6"/>
    </row>
    <row r="12" customFormat="false" ht="15" hidden="false" customHeight="false" outlineLevel="0" collapsed="false">
      <c r="A12" s="6" t="s">
        <v>144</v>
      </c>
    </row>
    <row r="13" customFormat="false" ht="15" hidden="false" customHeight="false" outlineLevel="0" collapsed="false">
      <c r="A13" s="6" t="s">
        <v>145</v>
      </c>
    </row>
    <row r="14" customFormat="false" ht="15" hidden="false" customHeight="false" outlineLevel="0" collapsed="false">
      <c r="A14" s="6" t="s">
        <v>146</v>
      </c>
    </row>
    <row r="15" customFormat="false" ht="15" hidden="false" customHeight="false" outlineLevel="0" collapsed="false">
      <c r="A15" s="7" t="s">
        <v>147</v>
      </c>
    </row>
    <row r="16" customFormat="false" ht="15" hidden="false" customHeight="false" outlineLevel="0" collapsed="false">
      <c r="A16" s="6"/>
    </row>
    <row r="17" customFormat="false" ht="15" hidden="false" customHeight="false" outlineLevel="0" collapsed="false">
      <c r="A17" s="6" t="s">
        <v>148</v>
      </c>
    </row>
    <row r="18" customFormat="false" ht="15" hidden="false" customHeight="false" outlineLevel="0" collapsed="false">
      <c r="A18" s="7" t="s">
        <v>149</v>
      </c>
    </row>
    <row r="19" customFormat="false" ht="15" hidden="false" customHeight="false" outlineLevel="0" collapsed="false">
      <c r="A19" s="6"/>
    </row>
    <row r="20" customFormat="false" ht="15" hidden="false" customHeight="false" outlineLevel="0" collapsed="false">
      <c r="A20" s="6" t="s">
        <v>150</v>
      </c>
    </row>
    <row r="21" customFormat="false" ht="15" hidden="false" customHeight="false" outlineLevel="0" collapsed="false">
      <c r="A21" s="6" t="s">
        <v>151</v>
      </c>
    </row>
    <row r="22" customFormat="false" ht="15" hidden="false" customHeight="false" outlineLevel="0" collapsed="false">
      <c r="A22" s="6" t="s">
        <v>152</v>
      </c>
    </row>
    <row r="23" customFormat="false" ht="15" hidden="false" customHeight="false" outlineLevel="0" collapsed="false">
      <c r="A23" s="6" t="s">
        <v>153</v>
      </c>
    </row>
    <row r="24" customFormat="false" ht="15" hidden="false" customHeight="false" outlineLevel="0" collapsed="false">
      <c r="A24" s="6" t="s">
        <v>154</v>
      </c>
    </row>
    <row r="25" customFormat="false" ht="15" hidden="false" customHeight="false" outlineLevel="0" collapsed="false">
      <c r="A25" s="6" t="s">
        <v>155</v>
      </c>
    </row>
    <row r="26" customFormat="false" ht="15" hidden="false" customHeight="false" outlineLevel="0" collapsed="false">
      <c r="A26" s="6"/>
    </row>
    <row r="27" customFormat="false" ht="15" hidden="false" customHeight="false" outlineLevel="0" collapsed="false">
      <c r="A27" s="6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2026-10-04T05:45:13Z</dcterms:created>
  <dc:creator>openpyxl</dc:creator>
  <dc:description/>
  <dc:language>en-US</dc:language>
  <cp:lastModifiedBy/>
  <dcterms:modified xsi:type="dcterms:W3CDTF">2026-10-04T05:45:13Z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